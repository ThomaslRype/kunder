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mboligdk.sharepoint.com/Delte dokumenter/LEJEMÅL - EXCEL/Alle udlejere/Lykkebo/ANALYSE/"/>
    </mc:Choice>
  </mc:AlternateContent>
  <xr:revisionPtr revIDLastSave="0" documentId="8_{F2DB2A13-7495-477A-A339-00320EDA9539}" xr6:coauthVersionLast="47" xr6:coauthVersionMax="47" xr10:uidLastSave="{00000000-0000-0000-0000-000000000000}"/>
  <bookViews>
    <workbookView xWindow="-120" yWindow="-120" windowWidth="29040" windowHeight="15840" xr2:uid="{9BF3E36D-4749-489E-9636-6AF60F0E46ED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6" i="1" l="1"/>
  <c r="M116" i="1"/>
  <c r="J116" i="1"/>
  <c r="H116" i="1"/>
  <c r="N115" i="1"/>
  <c r="M115" i="1"/>
  <c r="J115" i="1"/>
  <c r="H115" i="1"/>
  <c r="N114" i="1"/>
  <c r="M114" i="1"/>
  <c r="J114" i="1"/>
  <c r="H114" i="1"/>
  <c r="N113" i="1"/>
  <c r="M113" i="1"/>
  <c r="J113" i="1"/>
  <c r="H113" i="1"/>
  <c r="N112" i="1"/>
  <c r="M112" i="1"/>
  <c r="J112" i="1"/>
  <c r="H112" i="1"/>
  <c r="N111" i="1"/>
  <c r="M111" i="1"/>
  <c r="J111" i="1"/>
  <c r="H111" i="1"/>
  <c r="N110" i="1"/>
  <c r="M110" i="1"/>
  <c r="J110" i="1"/>
  <c r="H110" i="1"/>
  <c r="N109" i="1"/>
  <c r="M109" i="1"/>
  <c r="J109" i="1"/>
  <c r="H109" i="1"/>
  <c r="N108" i="1"/>
  <c r="M108" i="1"/>
  <c r="J108" i="1"/>
  <c r="H108" i="1"/>
  <c r="N107" i="1"/>
  <c r="M107" i="1"/>
  <c r="J107" i="1"/>
  <c r="H107" i="1"/>
  <c r="N106" i="1"/>
  <c r="M106" i="1"/>
  <c r="J106" i="1"/>
  <c r="H106" i="1"/>
  <c r="N105" i="1"/>
  <c r="M105" i="1"/>
  <c r="J105" i="1"/>
  <c r="H105" i="1"/>
  <c r="N104" i="1"/>
  <c r="M104" i="1"/>
  <c r="J104" i="1"/>
  <c r="H104" i="1"/>
  <c r="N103" i="1"/>
  <c r="M103" i="1"/>
  <c r="J103" i="1"/>
  <c r="H103" i="1"/>
  <c r="N102" i="1"/>
  <c r="M102" i="1"/>
  <c r="J102" i="1"/>
  <c r="H102" i="1"/>
  <c r="N101" i="1"/>
  <c r="M101" i="1"/>
  <c r="J101" i="1"/>
  <c r="H101" i="1"/>
  <c r="N100" i="1"/>
  <c r="M100" i="1"/>
  <c r="J100" i="1"/>
  <c r="H100" i="1"/>
  <c r="N99" i="1"/>
  <c r="M99" i="1"/>
  <c r="J99" i="1"/>
  <c r="H99" i="1"/>
  <c r="N98" i="1"/>
  <c r="M98" i="1"/>
  <c r="J98" i="1"/>
  <c r="H98" i="1"/>
  <c r="N97" i="1"/>
  <c r="M97" i="1"/>
  <c r="J97" i="1"/>
  <c r="H97" i="1"/>
  <c r="N96" i="1"/>
  <c r="M96" i="1"/>
  <c r="J96" i="1"/>
  <c r="H96" i="1"/>
  <c r="N95" i="1"/>
  <c r="M95" i="1"/>
  <c r="J95" i="1"/>
  <c r="H95" i="1"/>
  <c r="N94" i="1"/>
  <c r="M94" i="1"/>
  <c r="J94" i="1"/>
  <c r="H94" i="1"/>
  <c r="N93" i="1"/>
  <c r="M93" i="1"/>
  <c r="J93" i="1"/>
  <c r="H93" i="1"/>
  <c r="N92" i="1"/>
  <c r="M92" i="1"/>
  <c r="J92" i="1"/>
  <c r="H92" i="1"/>
  <c r="N91" i="1"/>
  <c r="M91" i="1"/>
  <c r="J91" i="1"/>
  <c r="H91" i="1"/>
  <c r="N90" i="1"/>
  <c r="M90" i="1"/>
  <c r="J90" i="1"/>
  <c r="H90" i="1"/>
  <c r="N89" i="1"/>
  <c r="M89" i="1"/>
  <c r="J89" i="1"/>
  <c r="H89" i="1"/>
  <c r="N88" i="1"/>
  <c r="M88" i="1"/>
  <c r="J88" i="1"/>
  <c r="H88" i="1"/>
  <c r="N87" i="1"/>
  <c r="M87" i="1"/>
  <c r="J87" i="1"/>
  <c r="H87" i="1"/>
  <c r="N86" i="1"/>
  <c r="M86" i="1"/>
  <c r="J86" i="1"/>
  <c r="H86" i="1"/>
  <c r="N85" i="1"/>
  <c r="M85" i="1"/>
  <c r="J85" i="1"/>
  <c r="H85" i="1"/>
  <c r="N84" i="1"/>
  <c r="M84" i="1"/>
  <c r="J84" i="1"/>
  <c r="H84" i="1"/>
  <c r="N83" i="1"/>
  <c r="M83" i="1"/>
  <c r="J83" i="1"/>
  <c r="H83" i="1"/>
  <c r="N82" i="1"/>
  <c r="M82" i="1"/>
  <c r="J82" i="1"/>
  <c r="H82" i="1"/>
  <c r="N81" i="1"/>
  <c r="M81" i="1"/>
  <c r="J81" i="1"/>
  <c r="H81" i="1"/>
  <c r="N80" i="1"/>
  <c r="M80" i="1"/>
  <c r="J80" i="1"/>
  <c r="H80" i="1"/>
  <c r="N79" i="1"/>
  <c r="M79" i="1"/>
  <c r="J79" i="1"/>
  <c r="H79" i="1"/>
  <c r="N78" i="1"/>
  <c r="M78" i="1"/>
  <c r="J78" i="1"/>
  <c r="H78" i="1"/>
  <c r="N77" i="1"/>
  <c r="M77" i="1"/>
  <c r="J77" i="1"/>
  <c r="H77" i="1"/>
  <c r="N76" i="1"/>
  <c r="M76" i="1"/>
  <c r="J76" i="1"/>
  <c r="H76" i="1"/>
  <c r="N75" i="1"/>
  <c r="M75" i="1"/>
  <c r="J75" i="1"/>
  <c r="H75" i="1"/>
  <c r="N74" i="1"/>
  <c r="M74" i="1"/>
  <c r="J74" i="1"/>
  <c r="H74" i="1"/>
  <c r="N73" i="1"/>
  <c r="M73" i="1"/>
  <c r="J73" i="1"/>
  <c r="H73" i="1"/>
  <c r="N72" i="1"/>
  <c r="M72" i="1"/>
  <c r="J72" i="1"/>
  <c r="H72" i="1"/>
  <c r="N71" i="1"/>
  <c r="M71" i="1"/>
  <c r="J71" i="1"/>
  <c r="H71" i="1"/>
  <c r="N70" i="1"/>
  <c r="M70" i="1"/>
  <c r="J70" i="1"/>
  <c r="H70" i="1"/>
  <c r="N69" i="1"/>
  <c r="M69" i="1"/>
  <c r="J69" i="1"/>
  <c r="H69" i="1"/>
  <c r="N68" i="1"/>
  <c r="M68" i="1"/>
  <c r="J68" i="1"/>
  <c r="H68" i="1"/>
  <c r="N67" i="1"/>
  <c r="M67" i="1"/>
  <c r="J67" i="1"/>
  <c r="H67" i="1"/>
  <c r="N66" i="1"/>
  <c r="M66" i="1"/>
  <c r="J66" i="1"/>
  <c r="H66" i="1"/>
  <c r="N65" i="1"/>
  <c r="M65" i="1"/>
  <c r="J65" i="1"/>
  <c r="H65" i="1"/>
  <c r="N64" i="1"/>
  <c r="M64" i="1"/>
  <c r="J64" i="1"/>
  <c r="H64" i="1"/>
  <c r="N63" i="1"/>
  <c r="M63" i="1"/>
  <c r="J63" i="1"/>
  <c r="H63" i="1"/>
  <c r="N62" i="1"/>
  <c r="M62" i="1"/>
  <c r="J62" i="1"/>
  <c r="H62" i="1"/>
  <c r="N61" i="1"/>
  <c r="M61" i="1"/>
  <c r="J61" i="1"/>
  <c r="H61" i="1"/>
  <c r="N60" i="1"/>
  <c r="M60" i="1"/>
  <c r="J60" i="1"/>
  <c r="H60" i="1"/>
  <c r="N59" i="1"/>
  <c r="M59" i="1"/>
  <c r="J59" i="1"/>
  <c r="H59" i="1"/>
  <c r="N58" i="1"/>
  <c r="M58" i="1"/>
  <c r="J58" i="1"/>
  <c r="H58" i="1"/>
  <c r="N57" i="1"/>
  <c r="M57" i="1"/>
  <c r="J57" i="1"/>
  <c r="H57" i="1"/>
  <c r="N56" i="1"/>
  <c r="M56" i="1"/>
  <c r="J56" i="1"/>
  <c r="H56" i="1"/>
  <c r="N55" i="1"/>
  <c r="M55" i="1"/>
  <c r="J55" i="1"/>
  <c r="H55" i="1"/>
  <c r="N54" i="1"/>
  <c r="M54" i="1"/>
  <c r="J54" i="1"/>
  <c r="H54" i="1"/>
  <c r="N53" i="1"/>
  <c r="M53" i="1"/>
  <c r="J53" i="1"/>
  <c r="H53" i="1"/>
  <c r="N52" i="1"/>
  <c r="M52" i="1"/>
  <c r="J52" i="1"/>
  <c r="H52" i="1"/>
  <c r="N51" i="1"/>
  <c r="M51" i="1"/>
  <c r="J51" i="1"/>
  <c r="H51" i="1"/>
  <c r="N50" i="1"/>
  <c r="M50" i="1"/>
  <c r="J50" i="1"/>
  <c r="H50" i="1"/>
  <c r="N49" i="1"/>
  <c r="M49" i="1"/>
  <c r="J49" i="1"/>
  <c r="H49" i="1"/>
  <c r="N48" i="1"/>
  <c r="M48" i="1"/>
  <c r="J48" i="1"/>
  <c r="H48" i="1"/>
  <c r="N47" i="1"/>
  <c r="M47" i="1"/>
  <c r="J47" i="1"/>
  <c r="H47" i="1"/>
  <c r="N46" i="1"/>
  <c r="M46" i="1"/>
  <c r="J46" i="1"/>
  <c r="H46" i="1"/>
  <c r="N45" i="1"/>
  <c r="M45" i="1"/>
  <c r="J45" i="1"/>
  <c r="H45" i="1"/>
  <c r="N44" i="1"/>
  <c r="M44" i="1"/>
  <c r="J44" i="1"/>
  <c r="H44" i="1"/>
  <c r="N43" i="1"/>
  <c r="M43" i="1"/>
  <c r="J43" i="1"/>
  <c r="H43" i="1"/>
  <c r="N42" i="1"/>
  <c r="M42" i="1"/>
  <c r="J42" i="1"/>
  <c r="H42" i="1"/>
  <c r="N41" i="1"/>
  <c r="M41" i="1"/>
  <c r="J41" i="1"/>
  <c r="H41" i="1"/>
  <c r="N40" i="1"/>
  <c r="M40" i="1"/>
  <c r="J40" i="1"/>
  <c r="H40" i="1"/>
  <c r="N39" i="1"/>
  <c r="M39" i="1"/>
  <c r="J39" i="1"/>
  <c r="H39" i="1"/>
  <c r="N38" i="1"/>
  <c r="M38" i="1"/>
  <c r="J38" i="1"/>
  <c r="H38" i="1"/>
  <c r="N37" i="1"/>
  <c r="M37" i="1"/>
  <c r="J37" i="1"/>
  <c r="H37" i="1"/>
  <c r="N36" i="1"/>
  <c r="M36" i="1"/>
  <c r="J36" i="1"/>
  <c r="H36" i="1"/>
  <c r="N35" i="1"/>
  <c r="M35" i="1"/>
  <c r="J35" i="1"/>
  <c r="H35" i="1"/>
  <c r="N34" i="1"/>
  <c r="M34" i="1"/>
  <c r="J34" i="1"/>
  <c r="H34" i="1"/>
  <c r="N33" i="1"/>
  <c r="M33" i="1"/>
  <c r="J33" i="1"/>
  <c r="H33" i="1"/>
  <c r="N32" i="1"/>
  <c r="M32" i="1"/>
  <c r="J32" i="1"/>
  <c r="H32" i="1"/>
  <c r="N31" i="1"/>
  <c r="M31" i="1"/>
  <c r="J31" i="1"/>
  <c r="H31" i="1"/>
  <c r="N30" i="1"/>
  <c r="M30" i="1"/>
  <c r="J30" i="1"/>
  <c r="H30" i="1"/>
  <c r="N29" i="1"/>
  <c r="M29" i="1"/>
  <c r="J29" i="1"/>
  <c r="H29" i="1"/>
  <c r="N28" i="1"/>
  <c r="M28" i="1"/>
  <c r="J28" i="1"/>
  <c r="H28" i="1"/>
  <c r="N27" i="1"/>
  <c r="M27" i="1"/>
  <c r="J27" i="1"/>
  <c r="H27" i="1"/>
  <c r="N26" i="1"/>
  <c r="M26" i="1"/>
  <c r="J26" i="1"/>
  <c r="H26" i="1"/>
  <c r="N25" i="1"/>
  <c r="M25" i="1"/>
  <c r="J25" i="1"/>
  <c r="H25" i="1"/>
  <c r="N24" i="1"/>
  <c r="M24" i="1"/>
  <c r="J24" i="1"/>
  <c r="H24" i="1"/>
  <c r="N23" i="1"/>
  <c r="M23" i="1"/>
  <c r="J23" i="1"/>
  <c r="H23" i="1"/>
  <c r="N22" i="1"/>
  <c r="M22" i="1"/>
  <c r="J22" i="1"/>
  <c r="H22" i="1"/>
  <c r="N21" i="1"/>
  <c r="M21" i="1"/>
  <c r="J21" i="1"/>
  <c r="H21" i="1"/>
  <c r="N20" i="1"/>
  <c r="M20" i="1"/>
  <c r="J20" i="1"/>
  <c r="H20" i="1"/>
  <c r="N19" i="1"/>
  <c r="M19" i="1"/>
  <c r="J19" i="1"/>
  <c r="H19" i="1"/>
  <c r="N18" i="1"/>
  <c r="M18" i="1"/>
  <c r="J18" i="1"/>
  <c r="H18" i="1"/>
  <c r="N17" i="1"/>
  <c r="M17" i="1"/>
  <c r="J17" i="1"/>
  <c r="H17" i="1"/>
  <c r="N16" i="1"/>
  <c r="M16" i="1"/>
  <c r="J16" i="1"/>
  <c r="H16" i="1"/>
  <c r="N15" i="1"/>
  <c r="M15" i="1"/>
  <c r="J15" i="1"/>
  <c r="H15" i="1"/>
  <c r="N14" i="1"/>
  <c r="M14" i="1"/>
  <c r="J14" i="1"/>
  <c r="H14" i="1"/>
  <c r="N13" i="1"/>
  <c r="M13" i="1"/>
  <c r="J13" i="1"/>
  <c r="H13" i="1"/>
  <c r="N12" i="1"/>
  <c r="M12" i="1"/>
  <c r="J12" i="1"/>
  <c r="H12" i="1"/>
  <c r="N11" i="1"/>
  <c r="M11" i="1"/>
  <c r="J11" i="1"/>
  <c r="H11" i="1"/>
  <c r="N10" i="1"/>
  <c r="M10" i="1"/>
  <c r="J10" i="1"/>
  <c r="H10" i="1"/>
  <c r="N9" i="1"/>
  <c r="M9" i="1"/>
  <c r="J9" i="1"/>
  <c r="H9" i="1"/>
  <c r="N8" i="1"/>
  <c r="M8" i="1"/>
  <c r="J8" i="1"/>
  <c r="H8" i="1"/>
  <c r="N7" i="1"/>
  <c r="M7" i="1"/>
  <c r="J7" i="1"/>
  <c r="H7" i="1"/>
  <c r="N6" i="1"/>
  <c r="M6" i="1"/>
  <c r="J6" i="1"/>
  <c r="H6" i="1"/>
  <c r="N5" i="1"/>
  <c r="M5" i="1"/>
  <c r="J5" i="1"/>
  <c r="H5" i="1"/>
  <c r="N4" i="1"/>
  <c r="M4" i="1"/>
  <c r="J4" i="1"/>
  <c r="H4" i="1"/>
  <c r="N3" i="1"/>
  <c r="M3" i="1"/>
  <c r="J3" i="1"/>
  <c r="H3" i="1"/>
  <c r="N2" i="1"/>
  <c r="M2" i="1"/>
  <c r="J2" i="1"/>
  <c r="H2" i="1"/>
</calcChain>
</file>

<file path=xl/sharedStrings.xml><?xml version="1.0" encoding="utf-8"?>
<sst xmlns="http://schemas.openxmlformats.org/spreadsheetml/2006/main" count="454" uniqueCount="175">
  <si>
    <t>Adresse</t>
  </si>
  <si>
    <t>ejendomnavn</t>
  </si>
  <si>
    <t>Tomgangsdato</t>
  </si>
  <si>
    <t>Status</t>
  </si>
  <si>
    <t>Værelser</t>
  </si>
  <si>
    <t>Råleje</t>
  </si>
  <si>
    <t>Aconto</t>
  </si>
  <si>
    <t>Månedlig leje</t>
  </si>
  <si>
    <t>kvm</t>
  </si>
  <si>
    <t>Kvm pris</t>
  </si>
  <si>
    <t>indflytningsdato</t>
  </si>
  <si>
    <t>Ny pris</t>
  </si>
  <si>
    <t>Ny kvm pris</t>
  </si>
  <si>
    <t>Forskel</t>
  </si>
  <si>
    <t>Hjemmeside</t>
  </si>
  <si>
    <t>Rantzausgade 34, 4. tv.</t>
  </si>
  <si>
    <t>Rantzausgade 34</t>
  </si>
  <si>
    <t>Er denne udlejet?</t>
  </si>
  <si>
    <t>Tomgang</t>
  </si>
  <si>
    <t>Danmarksgade 76, st. tv.</t>
  </si>
  <si>
    <t>Danmarksgade 76</t>
  </si>
  <si>
    <t>Vesterbro 13, 1. tv.</t>
  </si>
  <si>
    <t>Vesterbro 1-15</t>
  </si>
  <si>
    <t>Opsagt</t>
  </si>
  <si>
    <t>Vesterbro 62, 3. th.</t>
  </si>
  <si>
    <t>Vesterbro 62</t>
  </si>
  <si>
    <t>Danmarksgade 24, 4. th.</t>
  </si>
  <si>
    <t>Boulevarden 19 / Danmarksgade 24</t>
  </si>
  <si>
    <t>Fyensgade 48, 3. tv.</t>
  </si>
  <si>
    <t>Fyensgade 46-56</t>
  </si>
  <si>
    <t>Vesterbro 13, 3. tv.</t>
  </si>
  <si>
    <t>Ledig nu</t>
  </si>
  <si>
    <t>Fyensgade 54, 1. th.</t>
  </si>
  <si>
    <t>Fyensgade 50, 1. tv.</t>
  </si>
  <si>
    <t>TOMGANG</t>
  </si>
  <si>
    <t>Vendelbogade 12, 1. tv.</t>
  </si>
  <si>
    <t>Vendelbogade 12</t>
  </si>
  <si>
    <t>Vesterbro 60, 4. tv.</t>
  </si>
  <si>
    <t>Vesterbro 60</t>
  </si>
  <si>
    <t>nej</t>
  </si>
  <si>
    <t>Prinsensgade 42, 5. tv.</t>
  </si>
  <si>
    <t>Prinsensgade 42</t>
  </si>
  <si>
    <t>Vesterbro 62, 4. th.</t>
  </si>
  <si>
    <t>Markusgade 3, 2. th.</t>
  </si>
  <si>
    <t>Markusgade 3</t>
  </si>
  <si>
    <t>Vesterbro 42, 5. lejl. 3.</t>
  </si>
  <si>
    <t>Vesterbro 40-44</t>
  </si>
  <si>
    <t>Fyensgade 48, st. tv.</t>
  </si>
  <si>
    <t>Vesterbro 13, 5. tv.</t>
  </si>
  <si>
    <t>Fyensgade 50, 2. th.</t>
  </si>
  <si>
    <t>Vesterbro 62A, 2. lejl. 1.</t>
  </si>
  <si>
    <t>Vestebro 62A</t>
  </si>
  <si>
    <t>Vesterbro 5, st. th.</t>
  </si>
  <si>
    <t>Vendsysselgade 10, 3. th.</t>
  </si>
  <si>
    <t>Vendsysselgade 10</t>
  </si>
  <si>
    <t>Vesterbro 62A, 2. lejl. 3.</t>
  </si>
  <si>
    <t>Prinsensgade 6, 2. th.</t>
  </si>
  <si>
    <t>Prinsensgade 6</t>
  </si>
  <si>
    <t>Vesterbro 62A, 2. lejl. 4.</t>
  </si>
  <si>
    <t>Lille Kongensgade 10, 2. lej 1.</t>
  </si>
  <si>
    <t>Lille Kongensgade 10</t>
  </si>
  <si>
    <t>Grønnegangen 7, 2. th.</t>
  </si>
  <si>
    <t>Grønnegangen 7</t>
  </si>
  <si>
    <t>Christiansgade 8, st. tv.</t>
  </si>
  <si>
    <t>Prinsensgade Christiansgade</t>
  </si>
  <si>
    <t>Christiansgade 8, 2. tv.</t>
  </si>
  <si>
    <t>Vesterbro 7, 2. tv.</t>
  </si>
  <si>
    <t>Vesterbro 11, 4. tv.</t>
  </si>
  <si>
    <t>Vesterbro 44, 3. tv.</t>
  </si>
  <si>
    <t>Boulevarden 19, 4. lej 4.</t>
  </si>
  <si>
    <t>Christiansgade 8, 1. th.</t>
  </si>
  <si>
    <t>Udlejet</t>
  </si>
  <si>
    <t>Vesterbro 117, 1. th.</t>
  </si>
  <si>
    <t>Vesterbro 117</t>
  </si>
  <si>
    <t>Vesterbro 7, 2. th.</t>
  </si>
  <si>
    <t>Vesterbro 7, 1. th.</t>
  </si>
  <si>
    <t>Prinsensgade 44, 2. tv.</t>
  </si>
  <si>
    <t>Prinsensgade 44 / Grønnegangen 7A</t>
  </si>
  <si>
    <t>Vesterbro 62, 1. tv.</t>
  </si>
  <si>
    <t>Poul Paghs Gade 18, 4. tv.</t>
  </si>
  <si>
    <t>Poul Paghs Gade 18</t>
  </si>
  <si>
    <t>Vesterbro 56, 1. mf.</t>
  </si>
  <si>
    <t>Vesterbro 56-58</t>
  </si>
  <si>
    <t>Vesterbro 13, 4. th.</t>
  </si>
  <si>
    <t>Vesterbro 32, 2. th.</t>
  </si>
  <si>
    <t>Vesterbro 32 - Prins</t>
  </si>
  <si>
    <t>Hasserisgade 4, 2. tv.</t>
  </si>
  <si>
    <t>Hasserisgade 4</t>
  </si>
  <si>
    <t>Vesterbro 7, 4. th.</t>
  </si>
  <si>
    <t>Maren Turis Gade 1A, 3.</t>
  </si>
  <si>
    <t>Maren Turis Gade Bispensgade</t>
  </si>
  <si>
    <t>Maren Turis Gade 1, 3. tv.</t>
  </si>
  <si>
    <t>Danmarksgade 78, 2. th.</t>
  </si>
  <si>
    <t>Danmarksgade 78</t>
  </si>
  <si>
    <t>Helgolandsgade 1, st. tv.</t>
  </si>
  <si>
    <t>Helgolandsg - Absalonsg</t>
  </si>
  <si>
    <t>Vendelbogade 10, 3. th.</t>
  </si>
  <si>
    <t>Vendelbogade 10</t>
  </si>
  <si>
    <t>Vesterbro 30, 3. tv.</t>
  </si>
  <si>
    <t>Vesterbro 28-30</t>
  </si>
  <si>
    <t>Vesterbro 3, 2. tv.</t>
  </si>
  <si>
    <t>Vesterbro 11, 2. th.</t>
  </si>
  <si>
    <t>Borgergade 22, 4. tv.</t>
  </si>
  <si>
    <t>Borgergade 22</t>
  </si>
  <si>
    <t>Vesterbro 115, 4. th.</t>
  </si>
  <si>
    <t>Vesterbro 115</t>
  </si>
  <si>
    <t>Vesterbro 56, 1. th.</t>
  </si>
  <si>
    <t>Vesterbro 5, 3. tv.</t>
  </si>
  <si>
    <t>Vesterbro 1, st. th.</t>
  </si>
  <si>
    <t>Fyensgade 56, st. tv.</t>
  </si>
  <si>
    <t>Boulevarden 38, 4. tv.</t>
  </si>
  <si>
    <t>Boulevarden 38</t>
  </si>
  <si>
    <t>Frederikstorv 1, 4. th.</t>
  </si>
  <si>
    <t>Frederikstorv 1 / Danmarksgade 72</t>
  </si>
  <si>
    <t>Vesterbro 15, 5. tv.</t>
  </si>
  <si>
    <t>ledig nu</t>
  </si>
  <si>
    <t>Vesterbro 1, 5. th.</t>
  </si>
  <si>
    <t>Danmarksgade 74, 2. th.</t>
  </si>
  <si>
    <t>Danmarksgade 74</t>
  </si>
  <si>
    <t>Vesterbro 7, st. mf.</t>
  </si>
  <si>
    <t>Vesterbro 5, 2. tv.</t>
  </si>
  <si>
    <t>Kastetvej 33, lejl. 17.</t>
  </si>
  <si>
    <t>Kastetvej 31-33</t>
  </si>
  <si>
    <t>Poul Paghs Gade 18, 4. th.</t>
  </si>
  <si>
    <t>Vesterbro 15, 1. mf.</t>
  </si>
  <si>
    <t>Kastetvej 33, lejl. 9.</t>
  </si>
  <si>
    <t>Vesterbro 15, 5. mf.</t>
  </si>
  <si>
    <t>Prinsensgade 35, 1. tv.</t>
  </si>
  <si>
    <t>Prinsensgade 35-37</t>
  </si>
  <si>
    <t>Vesterbro 1, 1. tv.</t>
  </si>
  <si>
    <t>Fyensgade 52, st. th.</t>
  </si>
  <si>
    <t>Schleppegrellsgade 72, 2. tv.</t>
  </si>
  <si>
    <t>Schleppegrellsgade 72</t>
  </si>
  <si>
    <t>Danmarksgade 72, 3.</t>
  </si>
  <si>
    <t>Lille Kongensgade 10, 3. lej 3.</t>
  </si>
  <si>
    <t>Vesterbro 9, 2. tv.</t>
  </si>
  <si>
    <t>Danmarksgade 24, 3. tv.</t>
  </si>
  <si>
    <t>Vesterbro 32, 2. tv.</t>
  </si>
  <si>
    <t>Vendelbogade 12, 2. tv.</t>
  </si>
  <si>
    <t>Vesterbro 115, 2. tv.</t>
  </si>
  <si>
    <t>Vesterbro 32, st. th.</t>
  </si>
  <si>
    <t>Markusgade 3, kld. th.</t>
  </si>
  <si>
    <t>Vesterbro 60, 5. th.</t>
  </si>
  <si>
    <t>Vesterbro 117, st. th.</t>
  </si>
  <si>
    <t>Prinsensgade 45, 2. tv.</t>
  </si>
  <si>
    <t>Boulevarden 38, 1. th.</t>
  </si>
  <si>
    <t>Vesterbro 9, 1. tv.</t>
  </si>
  <si>
    <t>Poul Paghs Gade 18, 3. tv.</t>
  </si>
  <si>
    <t>Borgergade 22, 4. th.</t>
  </si>
  <si>
    <t>Grønnegangen 7, 3. th.</t>
  </si>
  <si>
    <t>Vesterbro 115, 1. tv.</t>
  </si>
  <si>
    <t>Prinsensgade 37, 2. th.</t>
  </si>
  <si>
    <t>Prinsensgade 6, kld.</t>
  </si>
  <si>
    <t>Vesterbro 15, 1. tv.</t>
  </si>
  <si>
    <t>Prinsensgade 42, st. th.</t>
  </si>
  <si>
    <t>Vesterbro 13, 4. tv.</t>
  </si>
  <si>
    <t>Vesterbro 60, 2. th.</t>
  </si>
  <si>
    <t>Vesterbro 62, 4. tv.</t>
  </si>
  <si>
    <t>Prinsensgade 6, 3. th.</t>
  </si>
  <si>
    <t>Vesterbro 115, 4. tv.</t>
  </si>
  <si>
    <t>Vesterbro 62, 4. mf.</t>
  </si>
  <si>
    <t>Vesterbro  32, 1. th.</t>
  </si>
  <si>
    <t>Frederikstorv 1, st. tv.</t>
  </si>
  <si>
    <t>Prinsensgade 44, 5. tv.</t>
  </si>
  <si>
    <t>Frederikstorv 1, st. th.</t>
  </si>
  <si>
    <t>Prinsensgade 42, 3. th.</t>
  </si>
  <si>
    <t>Prinsensgade  6, 1. th.</t>
  </si>
  <si>
    <t>Vesterbro  17, 3. th.</t>
  </si>
  <si>
    <t>Vesterbro 17</t>
  </si>
  <si>
    <t>Boulevarden 38, 4. th.</t>
  </si>
  <si>
    <t>Vesterbro 1, 4. mf.</t>
  </si>
  <si>
    <t>Boulevarden 19, 3. lej 3.</t>
  </si>
  <si>
    <t>Boulevarden 19, 3. lej 2.</t>
  </si>
  <si>
    <t>Vesterbro  17, 4. th.</t>
  </si>
  <si>
    <t>Borgergade 22, 2. 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</si>
</sst>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0000"/>
      <name val="MS Sans Serif"/>
      <charset val="1"/>
    </font>
    <font>
      <sz val="1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2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1" fontId="5" fillId="0" borderId="0" xfId="0" applyNumberFormat="1" applyFont="1"/>
    <xf numFmtId="14" fontId="0" fillId="0" borderId="0" xfId="0" applyNumberFormat="1" applyAlignment="1">
      <alignment horizontal="right"/>
    </xf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3" fontId="6" fillId="0" borderId="0" xfId="0" applyNumberFormat="1" applyFont="1"/>
    <xf numFmtId="0" fontId="0" fillId="0" borderId="0" xfId="0" applyAlignment="1">
      <alignment horizontal="left"/>
    </xf>
    <xf numFmtId="3" fontId="4" fillId="0" borderId="0" xfId="0" applyNumberFormat="1" applyFont="1"/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4" fillId="2" borderId="0" xfId="0" applyFont="1" applyFill="1"/>
    <xf numFmtId="1" fontId="5" fillId="2" borderId="0" xfId="0" applyNumberFormat="1" applyFont="1" applyFill="1"/>
    <xf numFmtId="14" fontId="0" fillId="2" borderId="0" xfId="0" applyNumberFormat="1" applyFill="1" applyAlignment="1">
      <alignment horizontal="right"/>
    </xf>
    <xf numFmtId="3" fontId="0" fillId="2" borderId="0" xfId="0" applyNumberFormat="1" applyFill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0" xfId="0" applyFill="1"/>
    <xf numFmtId="0" fontId="3" fillId="3" borderId="1" xfId="0" applyFont="1" applyFill="1" applyBorder="1" applyAlignment="1">
      <alignment horizontal="left" vertical="top" wrapText="1"/>
    </xf>
    <xf numFmtId="0" fontId="4" fillId="3" borderId="0" xfId="0" applyFont="1" applyFill="1"/>
    <xf numFmtId="1" fontId="5" fillId="3" borderId="0" xfId="0" applyNumberFormat="1" applyFont="1" applyFill="1"/>
    <xf numFmtId="14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2" fillId="4" borderId="2" xfId="0" applyFont="1" applyFill="1" applyBorder="1" applyAlignment="1">
      <alignment horizontal="left" vertical="top" wrapText="1"/>
    </xf>
  </cellXfs>
  <cellStyles count="2">
    <cellStyle name="Hyperlink" xfId="1" xr:uid="{9B3D072B-1192-4E5A-A47F-08645410B270}"/>
    <cellStyle name="Normal" xfId="0" builtinId="0"/>
  </cellStyles>
  <dxfs count="32"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bgColor auto="1"/>
        </patternFill>
      </fill>
    </dxf>
    <dxf>
      <fill>
        <patternFill>
          <bgColor rgb="FF8DFB97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8BD3B2"/>
        </patternFill>
      </fill>
    </dxf>
    <dxf>
      <fill>
        <patternFill patternType="solid">
          <fgColor auto="1"/>
          <bgColor rgb="FFF0767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8BD3B2"/>
        </patternFill>
      </fill>
    </dxf>
    <dxf>
      <fill>
        <patternFill patternType="solid">
          <fgColor auto="1"/>
          <bgColor rgb="FFF07676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28DFE4-99D4-4318-98B5-EF7FC6BEB3F6}" name="Tabel4" displayName="Tabel4" ref="A1:O116" totalsRowShown="0" headerRowDxfId="15" dataDxfId="14">
  <autoFilter ref="A1:O116" xr:uid="{9128DFE4-99D4-4318-98B5-EF7FC6BEB3F6}"/>
  <sortState xmlns:xlrd2="http://schemas.microsoft.com/office/spreadsheetml/2017/richdata2" ref="A2:O116">
    <sortCondition ref="F1:F116"/>
  </sortState>
  <tableColumns count="15">
    <tableColumn id="1" xr3:uid="{F1758253-84A5-47D9-9D21-D17A98E09F62}" name="Adresse" dataDxfId="13"/>
    <tableColumn id="16" xr3:uid="{7F642EE0-C93A-402C-9293-98B305138631}" name="ejendomnavn" dataDxfId="12"/>
    <tableColumn id="12" xr3:uid="{1C2A8191-C865-497D-BD64-82A0545B8C7F}" name="Tomgangsdato"/>
    <tableColumn id="2" xr3:uid="{BDF7798F-29FE-4CFD-84C2-41FDFC5D6A54}" name="Status" dataDxfId="11"/>
    <tableColumn id="3" xr3:uid="{0FBA6FBB-EFA8-4FAF-9573-D3FEC28104AA}" name="Værelser" dataDxfId="10"/>
    <tableColumn id="4" xr3:uid="{6E9A784A-D6CA-4424-AE40-75663E1182DD}" name="Råleje" dataDxfId="9"/>
    <tableColumn id="5" xr3:uid="{2A537804-C280-420E-A765-65049C58655D}" name="Aconto" dataDxfId="8"/>
    <tableColumn id="6" xr3:uid="{0385213F-49F4-4B2E-9793-B32CDE694164}" name="Månedlig leje" dataDxfId="7">
      <calculatedColumnFormula>Tabel4[[#This Row],[Aconto]]+Tabel4[[#This Row],[Råleje]]</calculatedColumnFormula>
    </tableColumn>
    <tableColumn id="7" xr3:uid="{F2D23C89-9A72-4817-BEF0-BE5F064E3DE9}" name="kvm" dataDxfId="6"/>
    <tableColumn id="8" xr3:uid="{B969CD34-251C-44E8-8ACD-A4442CB0F7DE}" name="Kvm pris" dataDxfId="5">
      <calculatedColumnFormula>(Tabel4[[#This Row],[Råleje]]*12)/Tabel4[[#This Row],[kvm]]</calculatedColumnFormula>
    </tableColumn>
    <tableColumn id="9" xr3:uid="{59324832-023D-41D3-9374-4209AE50EF6E}" name="indflytningsdato" dataDxfId="4"/>
    <tableColumn id="10" xr3:uid="{59F32C00-D00F-4C53-A44F-28A449039EE1}" name="Ny pris" dataDxfId="3"/>
    <tableColumn id="15" xr3:uid="{4C677E85-34B9-4059-8EAF-7B4B0AB115B3}" name="Ny kvm pris" dataDxfId="2">
      <calculatedColumnFormula>(Tabel4[[#This Row],[Ny pris]]*12)/Tabel4[[#This Row],[kvm]]</calculatedColumnFormula>
    </tableColumn>
    <tableColumn id="13" xr3:uid="{28354EC3-C6F1-4002-B2AB-DDC3B66C25F6}" name="Forskel" dataDxfId="1">
      <calculatedColumnFormula>Tabel4[[#This Row],[Ny pris]]-Tabel4[[#This Row],[Råleje]]</calculatedColumnFormula>
    </tableColumn>
    <tableColumn id="18" xr3:uid="{7443DCCD-4183-405F-99BB-CC30A54160E9}" name="Hjemmesi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BDC7-0603-4935-908D-EC4B76772D99}">
  <dimension ref="A1:O116"/>
  <sheetViews>
    <sheetView tabSelected="1" zoomScale="85" zoomScaleNormal="85" workbookViewId="0">
      <selection activeCell="T22" sqref="T22"/>
    </sheetView>
  </sheetViews>
  <sheetFormatPr defaultRowHeight="15"/>
  <cols>
    <col min="1" max="1" width="24.140625" customWidth="1"/>
    <col min="2" max="3" width="36.85546875" customWidth="1"/>
    <col min="4" max="4" width="18.7109375" customWidth="1"/>
    <col min="5" max="5" width="11.42578125" customWidth="1"/>
    <col min="7" max="7" width="9.42578125" customWidth="1"/>
    <col min="8" max="8" width="15.140625" customWidth="1"/>
    <col min="10" max="10" width="20.5703125" customWidth="1"/>
    <col min="11" max="12" width="21.42578125" bestFit="1" customWidth="1"/>
    <col min="13" max="15" width="1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16</v>
      </c>
      <c r="C2" t="s">
        <v>17</v>
      </c>
      <c r="D2" s="2" t="s">
        <v>18</v>
      </c>
      <c r="E2">
        <v>2</v>
      </c>
      <c r="F2">
        <v>4395</v>
      </c>
      <c r="G2">
        <v>600</v>
      </c>
      <c r="H2" s="3">
        <f>Tabel4[[#This Row],[Aconto]]+Tabel4[[#This Row],[Råleje]]</f>
        <v>4995</v>
      </c>
      <c r="I2">
        <v>45</v>
      </c>
      <c r="J2" s="4">
        <f>(Tabel4[[#This Row],[Råleje]]*12)/Tabel4[[#This Row],[kvm]]</f>
        <v>1172</v>
      </c>
      <c r="K2" s="5">
        <v>45931</v>
      </c>
      <c r="L2">
        <v>4395</v>
      </c>
      <c r="M2" s="6">
        <f>(Tabel4[[#This Row],[Ny pris]]*12)/Tabel4[[#This Row],[kvm]]</f>
        <v>1172</v>
      </c>
      <c r="N2" s="6">
        <f>Tabel4[[#This Row],[Ny pris]]-Tabel4[[#This Row],[Råleje]]</f>
        <v>0</v>
      </c>
      <c r="O2" s="6"/>
    </row>
    <row r="3" spans="1:15">
      <c r="A3" s="2" t="s">
        <v>19</v>
      </c>
      <c r="B3" t="s">
        <v>20</v>
      </c>
      <c r="C3" t="s">
        <v>17</v>
      </c>
      <c r="D3" s="2" t="s">
        <v>18</v>
      </c>
      <c r="E3" s="3">
        <v>2</v>
      </c>
      <c r="F3" s="3">
        <v>4695</v>
      </c>
      <c r="G3" s="3">
        <v>500</v>
      </c>
      <c r="H3" s="3">
        <f>Tabel4[[#This Row],[Aconto]]+Tabel4[[#This Row],[Råleje]]</f>
        <v>5195</v>
      </c>
      <c r="I3" s="3">
        <v>58</v>
      </c>
      <c r="J3" s="4">
        <f>(Tabel4[[#This Row],[Råleje]]*12)/Tabel4[[#This Row],[kvm]]</f>
        <v>971.37931034482756</v>
      </c>
      <c r="K3" s="5">
        <v>45962</v>
      </c>
      <c r="L3">
        <v>5195</v>
      </c>
      <c r="M3" s="6">
        <f>(Tabel4[[#This Row],[Ny pris]]*12)/Tabel4[[#This Row],[kvm]]</f>
        <v>1074.8275862068965</v>
      </c>
      <c r="N3" s="6">
        <f>Tabel4[[#This Row],[Ny pris]]-Tabel4[[#This Row],[Råleje]]</f>
        <v>500</v>
      </c>
      <c r="O3" s="6"/>
    </row>
    <row r="4" spans="1:15">
      <c r="A4" s="2" t="s">
        <v>21</v>
      </c>
      <c r="B4" t="s">
        <v>22</v>
      </c>
      <c r="C4" s="7">
        <v>45976</v>
      </c>
      <c r="D4" s="2" t="s">
        <v>23</v>
      </c>
      <c r="E4" s="3">
        <v>1</v>
      </c>
      <c r="F4" s="3">
        <v>4895</v>
      </c>
      <c r="G4" s="3">
        <v>700</v>
      </c>
      <c r="H4" s="3">
        <f>Tabel4[[#This Row],[Aconto]]+Tabel4[[#This Row],[Råleje]]</f>
        <v>5595</v>
      </c>
      <c r="I4" s="3">
        <v>54</v>
      </c>
      <c r="J4" s="4">
        <f>(Tabel4[[#This Row],[Råleje]]*12)/Tabel4[[#This Row],[kvm]]</f>
        <v>1087.7777777777778</v>
      </c>
      <c r="K4" s="5">
        <v>45962</v>
      </c>
      <c r="L4">
        <v>4750</v>
      </c>
      <c r="M4" s="6">
        <f>(Tabel4[[#This Row],[Ny pris]]*12)/Tabel4[[#This Row],[kvm]]</f>
        <v>1055.5555555555557</v>
      </c>
      <c r="N4" s="6">
        <f>Tabel4[[#This Row],[Ny pris]]-Tabel4[[#This Row],[Råleje]]</f>
        <v>-145</v>
      </c>
      <c r="O4" s="6"/>
    </row>
    <row r="5" spans="1:15">
      <c r="A5" s="2" t="s">
        <v>24</v>
      </c>
      <c r="B5" t="s">
        <v>25</v>
      </c>
      <c r="D5" s="2" t="s">
        <v>18</v>
      </c>
      <c r="E5" s="3">
        <v>2</v>
      </c>
      <c r="F5" s="3">
        <v>4995</v>
      </c>
      <c r="G5" s="3">
        <v>500</v>
      </c>
      <c r="H5" s="3">
        <f>Tabel4[[#This Row],[Aconto]]+Tabel4[[#This Row],[Råleje]]</f>
        <v>5495</v>
      </c>
      <c r="I5" s="3">
        <v>73</v>
      </c>
      <c r="J5" s="4">
        <f>(Tabel4[[#This Row],[Råleje]]*12)/Tabel4[[#This Row],[kvm]]</f>
        <v>821.09589041095887</v>
      </c>
      <c r="K5" s="5">
        <v>45992</v>
      </c>
      <c r="L5" s="3">
        <v>4995</v>
      </c>
      <c r="M5" s="6">
        <f>(Tabel4[[#This Row],[Ny pris]]*12)/Tabel4[[#This Row],[kvm]]</f>
        <v>821.09589041095887</v>
      </c>
      <c r="N5" s="6">
        <f>Tabel4[[#This Row],[Ny pris]]-Tabel4[[#This Row],[Råleje]]</f>
        <v>0</v>
      </c>
      <c r="O5" s="6"/>
    </row>
    <row r="6" spans="1:15">
      <c r="A6" s="1" t="s">
        <v>26</v>
      </c>
      <c r="B6" t="s">
        <v>27</v>
      </c>
      <c r="C6" t="s">
        <v>17</v>
      </c>
      <c r="D6" s="2" t="s">
        <v>18</v>
      </c>
      <c r="E6">
        <v>3</v>
      </c>
      <c r="F6">
        <v>4995</v>
      </c>
      <c r="G6">
        <v>600</v>
      </c>
      <c r="H6" s="3">
        <f>Tabel4[[#This Row],[Aconto]]+Tabel4[[#This Row],[Råleje]]</f>
        <v>5595</v>
      </c>
      <c r="I6">
        <v>59</v>
      </c>
      <c r="J6" s="4">
        <f>(Tabel4[[#This Row],[Råleje]]*12)/Tabel4[[#This Row],[kvm]]</f>
        <v>1015.9322033898305</v>
      </c>
      <c r="K6" s="5">
        <v>45931</v>
      </c>
      <c r="L6">
        <v>4500</v>
      </c>
      <c r="M6" s="6">
        <f>(Tabel4[[#This Row],[Ny pris]]*12)/Tabel4[[#This Row],[kvm]]</f>
        <v>915.25423728813564</v>
      </c>
      <c r="N6" s="6">
        <f>Tabel4[[#This Row],[Ny pris]]-Tabel4[[#This Row],[Råleje]]</f>
        <v>-495</v>
      </c>
      <c r="O6" s="6"/>
    </row>
    <row r="7" spans="1:15">
      <c r="A7" s="1" t="s">
        <v>28</v>
      </c>
      <c r="B7" t="s">
        <v>29</v>
      </c>
      <c r="C7" t="s">
        <v>17</v>
      </c>
      <c r="D7" s="2" t="s">
        <v>18</v>
      </c>
      <c r="E7">
        <v>2</v>
      </c>
      <c r="F7">
        <v>4995</v>
      </c>
      <c r="G7">
        <v>800</v>
      </c>
      <c r="H7" s="3">
        <f>Tabel4[[#This Row],[Aconto]]+Tabel4[[#This Row],[Råleje]]</f>
        <v>5795</v>
      </c>
      <c r="I7">
        <v>59</v>
      </c>
      <c r="J7" s="4">
        <f>(Tabel4[[#This Row],[Råleje]]*12)/Tabel4[[#This Row],[kvm]]</f>
        <v>1015.9322033898305</v>
      </c>
      <c r="K7" s="5">
        <v>45809</v>
      </c>
      <c r="L7">
        <v>4995</v>
      </c>
      <c r="M7" s="6">
        <f>(Tabel4[[#This Row],[Ny pris]]*12)/Tabel4[[#This Row],[kvm]]</f>
        <v>1015.9322033898305</v>
      </c>
      <c r="N7" s="6">
        <f>Tabel4[[#This Row],[Ny pris]]-Tabel4[[#This Row],[Råleje]]</f>
        <v>0</v>
      </c>
      <c r="O7" s="6"/>
    </row>
    <row r="8" spans="1:15">
      <c r="A8" s="1" t="s">
        <v>30</v>
      </c>
      <c r="B8" t="s">
        <v>22</v>
      </c>
      <c r="C8" s="8" t="s">
        <v>31</v>
      </c>
      <c r="D8" s="2" t="s">
        <v>18</v>
      </c>
      <c r="E8">
        <v>1</v>
      </c>
      <c r="F8">
        <v>4995</v>
      </c>
      <c r="G8">
        <v>800</v>
      </c>
      <c r="H8" s="3">
        <f>Tabel4[[#This Row],[Aconto]]+Tabel4[[#This Row],[Råleje]]</f>
        <v>5795</v>
      </c>
      <c r="I8">
        <v>54</v>
      </c>
      <c r="J8" s="4">
        <f>(Tabel4[[#This Row],[Råleje]]*12)/Tabel4[[#This Row],[kvm]]</f>
        <v>1110</v>
      </c>
      <c r="K8" s="5">
        <v>45839</v>
      </c>
      <c r="L8">
        <v>4995</v>
      </c>
      <c r="M8" s="6">
        <f>(Tabel4[[#This Row],[Ny pris]]*12)/Tabel4[[#This Row],[kvm]]</f>
        <v>1110</v>
      </c>
      <c r="N8" s="6">
        <f>Tabel4[[#This Row],[Ny pris]]-Tabel4[[#This Row],[Råleje]]</f>
        <v>0</v>
      </c>
      <c r="O8" s="6"/>
    </row>
    <row r="9" spans="1:15" ht="15.75">
      <c r="A9" s="2" t="s">
        <v>32</v>
      </c>
      <c r="B9" t="s">
        <v>29</v>
      </c>
      <c r="C9" s="7">
        <v>45945</v>
      </c>
      <c r="D9" s="2" t="s">
        <v>23</v>
      </c>
      <c r="E9">
        <v>2</v>
      </c>
      <c r="F9" s="9">
        <v>5095</v>
      </c>
      <c r="G9">
        <v>550</v>
      </c>
      <c r="H9" s="3">
        <f>Tabel4[[#This Row],[Aconto]]+Tabel4[[#This Row],[Råleje]]</f>
        <v>5645</v>
      </c>
      <c r="I9">
        <v>59</v>
      </c>
      <c r="J9" s="4">
        <f>(Tabel4[[#This Row],[Råleje]]*12)/Tabel4[[#This Row],[kvm]]</f>
        <v>1036.2711864406779</v>
      </c>
      <c r="K9" s="5">
        <v>45992</v>
      </c>
      <c r="L9">
        <v>4995</v>
      </c>
      <c r="M9" s="6">
        <f>(Tabel4[[#This Row],[Ny pris]]*12)/Tabel4[[#This Row],[kvm]]</f>
        <v>1015.9322033898305</v>
      </c>
      <c r="N9" s="6">
        <f>Tabel4[[#This Row],[Ny pris]]-Tabel4[[#This Row],[Råleje]]</f>
        <v>-100</v>
      </c>
      <c r="O9" s="6"/>
    </row>
    <row r="10" spans="1:15">
      <c r="A10" s="2" t="s">
        <v>33</v>
      </c>
      <c r="B10" t="s">
        <v>29</v>
      </c>
      <c r="C10" s="8" t="s">
        <v>31</v>
      </c>
      <c r="D10" s="2" t="s">
        <v>34</v>
      </c>
      <c r="E10" s="3">
        <v>2</v>
      </c>
      <c r="F10" s="3">
        <v>5495</v>
      </c>
      <c r="G10" s="3">
        <v>800</v>
      </c>
      <c r="H10" s="3">
        <f>Tabel4[[#This Row],[Aconto]]+Tabel4[[#This Row],[Råleje]]</f>
        <v>6295</v>
      </c>
      <c r="I10" s="3">
        <v>59</v>
      </c>
      <c r="J10" s="4">
        <f>(Tabel4[[#This Row],[Råleje]]*12)/Tabel4[[#This Row],[kvm]]</f>
        <v>1117.6271186440679</v>
      </c>
      <c r="K10" s="5">
        <v>45992</v>
      </c>
      <c r="L10">
        <v>5245</v>
      </c>
      <c r="M10" s="6">
        <f>(Tabel4[[#This Row],[Ny pris]]*12)/Tabel4[[#This Row],[kvm]]</f>
        <v>1066.7796610169491</v>
      </c>
      <c r="N10" s="6">
        <f>Tabel4[[#This Row],[Ny pris]]-Tabel4[[#This Row],[Råleje]]</f>
        <v>-250</v>
      </c>
      <c r="O10" s="6"/>
    </row>
    <row r="11" spans="1:15">
      <c r="A11" s="1" t="s">
        <v>35</v>
      </c>
      <c r="B11" t="s">
        <v>36</v>
      </c>
      <c r="C11" s="8" t="s">
        <v>31</v>
      </c>
      <c r="D11" s="2" t="s">
        <v>34</v>
      </c>
      <c r="E11">
        <v>2</v>
      </c>
      <c r="F11">
        <v>5495</v>
      </c>
      <c r="G11">
        <v>600</v>
      </c>
      <c r="H11" s="3">
        <f>Tabel4[[#This Row],[Aconto]]+Tabel4[[#This Row],[Råleje]]</f>
        <v>6095</v>
      </c>
      <c r="I11">
        <v>63</v>
      </c>
      <c r="J11" s="4">
        <f>(Tabel4[[#This Row],[Råleje]]*12)/Tabel4[[#This Row],[kvm]]</f>
        <v>1046.6666666666667</v>
      </c>
      <c r="K11" s="5">
        <v>45931</v>
      </c>
      <c r="L11">
        <v>4995</v>
      </c>
      <c r="M11" s="6">
        <f>(Tabel4[[#This Row],[Ny pris]]*12)/Tabel4[[#This Row],[kvm]]</f>
        <v>951.42857142857144</v>
      </c>
      <c r="N11" s="6">
        <f>Tabel4[[#This Row],[Ny pris]]-Tabel4[[#This Row],[Råleje]]</f>
        <v>-500</v>
      </c>
      <c r="O11" s="6"/>
    </row>
    <row r="12" spans="1:15">
      <c r="A12" s="1" t="s">
        <v>37</v>
      </c>
      <c r="B12" t="s">
        <v>38</v>
      </c>
      <c r="D12" s="2" t="s">
        <v>34</v>
      </c>
      <c r="E12">
        <v>2</v>
      </c>
      <c r="F12">
        <v>5495</v>
      </c>
      <c r="G12">
        <v>700</v>
      </c>
      <c r="H12" s="3">
        <f>Tabel4[[#This Row],[Aconto]]+Tabel4[[#This Row],[Råleje]]</f>
        <v>6195</v>
      </c>
      <c r="I12">
        <v>79</v>
      </c>
      <c r="J12" s="4">
        <f>(Tabel4[[#This Row],[Råleje]]*12)/Tabel4[[#This Row],[kvm]]</f>
        <v>834.68354430379748</v>
      </c>
      <c r="K12" s="5">
        <v>44972</v>
      </c>
      <c r="L12">
        <v>5250</v>
      </c>
      <c r="M12" s="6">
        <f>(Tabel4[[#This Row],[Ny pris]]*12)/Tabel4[[#This Row],[kvm]]</f>
        <v>797.46835443037969</v>
      </c>
      <c r="N12" s="6">
        <f>Tabel4[[#This Row],[Ny pris]]-Tabel4[[#This Row],[Råleje]]</f>
        <v>-245</v>
      </c>
      <c r="O12" s="6" t="s">
        <v>39</v>
      </c>
    </row>
    <row r="13" spans="1:15">
      <c r="A13" s="1" t="s">
        <v>40</v>
      </c>
      <c r="B13" t="s">
        <v>41</v>
      </c>
      <c r="C13" s="8" t="s">
        <v>31</v>
      </c>
      <c r="D13" s="2" t="s">
        <v>34</v>
      </c>
      <c r="E13">
        <v>3</v>
      </c>
      <c r="F13">
        <v>5695</v>
      </c>
      <c r="G13">
        <v>800</v>
      </c>
      <c r="H13" s="3">
        <f>Tabel4[[#This Row],[Aconto]]+Tabel4[[#This Row],[Råleje]]</f>
        <v>6495</v>
      </c>
      <c r="I13">
        <v>85</v>
      </c>
      <c r="J13" s="4">
        <f>(Tabel4[[#This Row],[Råleje]]*12)/Tabel4[[#This Row],[kvm]]</f>
        <v>804</v>
      </c>
      <c r="K13" s="5">
        <v>44378</v>
      </c>
      <c r="L13">
        <v>5495</v>
      </c>
      <c r="M13" s="6">
        <f>(Tabel4[[#This Row],[Ny pris]]*12)/Tabel4[[#This Row],[kvm]]</f>
        <v>775.76470588235293</v>
      </c>
      <c r="N13" s="6">
        <f>Tabel4[[#This Row],[Ny pris]]-Tabel4[[#This Row],[Råleje]]</f>
        <v>-200</v>
      </c>
      <c r="O13" s="6" t="s">
        <v>39</v>
      </c>
    </row>
    <row r="14" spans="1:15">
      <c r="A14" s="1" t="s">
        <v>42</v>
      </c>
      <c r="B14" t="s">
        <v>25</v>
      </c>
      <c r="C14" s="5">
        <v>45945</v>
      </c>
      <c r="D14" s="2" t="s">
        <v>23</v>
      </c>
      <c r="F14">
        <v>5795</v>
      </c>
      <c r="G14">
        <v>1100</v>
      </c>
      <c r="H14" s="3">
        <f>Tabel4[[#This Row],[Aconto]]+Tabel4[[#This Row],[Råleje]]</f>
        <v>6895</v>
      </c>
      <c r="I14">
        <v>73</v>
      </c>
      <c r="J14" s="4">
        <f>(Tabel4[[#This Row],[Råleje]]*12)/Tabel4[[#This Row],[kvm]]</f>
        <v>952.60273972602738</v>
      </c>
      <c r="K14" s="5">
        <v>45778</v>
      </c>
      <c r="L14">
        <v>5495</v>
      </c>
      <c r="M14" s="6">
        <f>(Tabel4[[#This Row],[Ny pris]]*12)/Tabel4[[#This Row],[kvm]]</f>
        <v>903.28767123287673</v>
      </c>
      <c r="N14" s="6">
        <f>Tabel4[[#This Row],[Ny pris]]-Tabel4[[#This Row],[Råleje]]</f>
        <v>-300</v>
      </c>
      <c r="O14" s="6" t="s">
        <v>39</v>
      </c>
    </row>
    <row r="15" spans="1:15">
      <c r="A15" s="1" t="s">
        <v>43</v>
      </c>
      <c r="B15" t="s">
        <v>44</v>
      </c>
      <c r="C15" s="10" t="s">
        <v>17</v>
      </c>
      <c r="D15" s="2" t="s">
        <v>34</v>
      </c>
      <c r="E15">
        <v>2</v>
      </c>
      <c r="F15">
        <v>5795</v>
      </c>
      <c r="G15">
        <v>550</v>
      </c>
      <c r="H15" s="3">
        <f>Tabel4[[#This Row],[Aconto]]+Tabel4[[#This Row],[Råleje]]</f>
        <v>6345</v>
      </c>
      <c r="I15">
        <v>63</v>
      </c>
      <c r="J15" s="4">
        <f>(Tabel4[[#This Row],[Råleje]]*12)/Tabel4[[#This Row],[kvm]]</f>
        <v>1103.8095238095239</v>
      </c>
      <c r="K15" s="5">
        <v>45901</v>
      </c>
      <c r="L15">
        <v>5500</v>
      </c>
      <c r="M15" s="6">
        <f>(Tabel4[[#This Row],[Ny pris]]*12)/Tabel4[[#This Row],[kvm]]</f>
        <v>1047.6190476190477</v>
      </c>
      <c r="N15" s="6">
        <f>Tabel4[[#This Row],[Ny pris]]-Tabel4[[#This Row],[Råleje]]</f>
        <v>-295</v>
      </c>
      <c r="O15" s="6"/>
    </row>
    <row r="16" spans="1:15">
      <c r="A16" s="1" t="s">
        <v>45</v>
      </c>
      <c r="B16" t="s">
        <v>46</v>
      </c>
      <c r="C16" s="8" t="s">
        <v>31</v>
      </c>
      <c r="D16" s="2" t="s">
        <v>34</v>
      </c>
      <c r="E16">
        <v>2</v>
      </c>
      <c r="F16">
        <v>5795</v>
      </c>
      <c r="G16">
        <v>600</v>
      </c>
      <c r="H16" s="3">
        <f>Tabel4[[#This Row],[Aconto]]+Tabel4[[#This Row],[Råleje]]</f>
        <v>6395</v>
      </c>
      <c r="I16">
        <v>74</v>
      </c>
      <c r="J16" s="4">
        <f>(Tabel4[[#This Row],[Råleje]]*12)/Tabel4[[#This Row],[kvm]]</f>
        <v>939.72972972972968</v>
      </c>
      <c r="K16" s="5">
        <v>45627</v>
      </c>
      <c r="L16">
        <v>5250</v>
      </c>
      <c r="M16" s="6">
        <f>(Tabel4[[#This Row],[Ny pris]]*12)/Tabel4[[#This Row],[kvm]]</f>
        <v>851.35135135135135</v>
      </c>
      <c r="N16" s="6">
        <f>Tabel4[[#This Row],[Ny pris]]-Tabel4[[#This Row],[Råleje]]</f>
        <v>-545</v>
      </c>
      <c r="O16" s="6"/>
    </row>
    <row r="17" spans="1:15">
      <c r="A17" s="2" t="s">
        <v>47</v>
      </c>
      <c r="B17" t="s">
        <v>29</v>
      </c>
      <c r="C17" s="5">
        <v>45962</v>
      </c>
      <c r="D17" s="2" t="s">
        <v>23</v>
      </c>
      <c r="E17" s="3">
        <v>2</v>
      </c>
      <c r="F17" s="11">
        <v>5895</v>
      </c>
      <c r="G17" s="3">
        <v>600</v>
      </c>
      <c r="H17" s="3">
        <f>Tabel4[[#This Row],[Aconto]]+Tabel4[[#This Row],[Råleje]]</f>
        <v>6495</v>
      </c>
      <c r="I17" s="3">
        <v>58</v>
      </c>
      <c r="J17" s="4">
        <f>(Tabel4[[#This Row],[Råleje]]*12)/Tabel4[[#This Row],[kvm]]</f>
        <v>1219.655172413793</v>
      </c>
      <c r="K17" s="5">
        <v>45962</v>
      </c>
      <c r="L17">
        <v>5695</v>
      </c>
      <c r="M17" s="6">
        <f>(Tabel4[[#This Row],[Ny pris]]*12)/Tabel4[[#This Row],[kvm]]</f>
        <v>1178.2758620689656</v>
      </c>
      <c r="N17" s="6">
        <f>Tabel4[[#This Row],[Ny pris]]-Tabel4[[#This Row],[Råleje]]</f>
        <v>-200</v>
      </c>
      <c r="O17" s="6"/>
    </row>
    <row r="18" spans="1:15">
      <c r="A18" s="2" t="s">
        <v>48</v>
      </c>
      <c r="B18" t="s">
        <v>22</v>
      </c>
      <c r="C18" s="10" t="s">
        <v>17</v>
      </c>
      <c r="D18" s="2" t="s">
        <v>34</v>
      </c>
      <c r="E18" s="3">
        <v>1</v>
      </c>
      <c r="F18" s="3">
        <v>5895</v>
      </c>
      <c r="G18" s="3">
        <v>550</v>
      </c>
      <c r="H18" s="3">
        <f>Tabel4[[#This Row],[Aconto]]+Tabel4[[#This Row],[Råleje]]</f>
        <v>6445</v>
      </c>
      <c r="I18" s="3">
        <v>54</v>
      </c>
      <c r="J18" s="4">
        <f>(Tabel4[[#This Row],[Råleje]]*12)/Tabel4[[#This Row],[kvm]]</f>
        <v>1310</v>
      </c>
      <c r="K18" s="5">
        <v>45992</v>
      </c>
      <c r="L18">
        <v>4995</v>
      </c>
      <c r="M18" s="6">
        <f>(Tabel4[[#This Row],[Ny pris]]*12)/Tabel4[[#This Row],[kvm]]</f>
        <v>1110</v>
      </c>
      <c r="N18" s="6">
        <f>Tabel4[[#This Row],[Ny pris]]-Tabel4[[#This Row],[Råleje]]</f>
        <v>-900</v>
      </c>
      <c r="O18" s="6"/>
    </row>
    <row r="19" spans="1:15">
      <c r="A19" s="2" t="s">
        <v>49</v>
      </c>
      <c r="B19" t="s">
        <v>29</v>
      </c>
      <c r="C19" s="5">
        <v>45962</v>
      </c>
      <c r="D19" s="2" t="s">
        <v>23</v>
      </c>
      <c r="F19">
        <v>5995</v>
      </c>
      <c r="G19">
        <v>750</v>
      </c>
      <c r="H19" s="3">
        <f>Tabel4[[#This Row],[Aconto]]+Tabel4[[#This Row],[Råleje]]</f>
        <v>6745</v>
      </c>
      <c r="I19">
        <v>59</v>
      </c>
      <c r="J19" s="4">
        <f>(Tabel4[[#This Row],[Råleje]]*12)/Tabel4[[#This Row],[kvm]]</f>
        <v>1219.3220338983051</v>
      </c>
      <c r="K19" s="5">
        <v>45962</v>
      </c>
      <c r="L19">
        <v>5895</v>
      </c>
      <c r="M19" s="6">
        <f>(Tabel4[[#This Row],[Ny pris]]*12)/Tabel4[[#This Row],[kvm]]</f>
        <v>1198.9830508474577</v>
      </c>
      <c r="N19" s="6">
        <f>Tabel4[[#This Row],[Ny pris]]-Tabel4[[#This Row],[Råleje]]</f>
        <v>-100</v>
      </c>
      <c r="O19" s="6" t="s">
        <v>39</v>
      </c>
    </row>
    <row r="20" spans="1:15">
      <c r="A20" s="2" t="s">
        <v>50</v>
      </c>
      <c r="B20" t="s">
        <v>51</v>
      </c>
      <c r="C20" s="5">
        <v>45992</v>
      </c>
      <c r="D20" s="2" t="s">
        <v>23</v>
      </c>
      <c r="E20" s="3">
        <v>2</v>
      </c>
      <c r="F20" s="3">
        <v>5995</v>
      </c>
      <c r="G20" s="3">
        <v>800</v>
      </c>
      <c r="H20" s="3">
        <f>Tabel4[[#This Row],[Aconto]]+Tabel4[[#This Row],[Råleje]]</f>
        <v>6795</v>
      </c>
      <c r="I20" s="3">
        <v>72</v>
      </c>
      <c r="J20" s="4">
        <f>(Tabel4[[#This Row],[Råleje]]*12)/Tabel4[[#This Row],[kvm]]</f>
        <v>999.16666666666663</v>
      </c>
      <c r="K20" s="5">
        <v>45992</v>
      </c>
      <c r="L20">
        <v>5495</v>
      </c>
      <c r="M20" s="6">
        <f>(Tabel4[[#This Row],[Ny pris]]*12)/Tabel4[[#This Row],[kvm]]</f>
        <v>915.83333333333337</v>
      </c>
      <c r="N20" s="6">
        <f>Tabel4[[#This Row],[Ny pris]]-Tabel4[[#This Row],[Råleje]]</f>
        <v>-500</v>
      </c>
      <c r="O20" s="6"/>
    </row>
    <row r="21" spans="1:15">
      <c r="A21" s="12" t="s">
        <v>52</v>
      </c>
      <c r="B21" s="13" t="s">
        <v>22</v>
      </c>
      <c r="C21" s="14"/>
      <c r="D21" s="15" t="s">
        <v>34</v>
      </c>
      <c r="E21" s="13">
        <v>2</v>
      </c>
      <c r="F21" s="13">
        <v>5995</v>
      </c>
      <c r="G21" s="13">
        <v>900</v>
      </c>
      <c r="H21" s="16">
        <f>Tabel4[[#This Row],[Aconto]]+Tabel4[[#This Row],[Råleje]]</f>
        <v>6895</v>
      </c>
      <c r="I21" s="13">
        <v>73</v>
      </c>
      <c r="J21" s="17">
        <f>(Tabel4[[#This Row],[Råleje]]*12)/Tabel4[[#This Row],[kvm]]</f>
        <v>985.47945205479448</v>
      </c>
      <c r="K21" s="18">
        <v>45413</v>
      </c>
      <c r="L21" s="13">
        <v>5995</v>
      </c>
      <c r="M21" s="19">
        <f>(Tabel4[[#This Row],[Ny pris]]*12)/Tabel4[[#This Row],[kvm]]</f>
        <v>985.47945205479448</v>
      </c>
      <c r="N21" s="19">
        <f>Tabel4[[#This Row],[Ny pris]]-Tabel4[[#This Row],[Råleje]]</f>
        <v>0</v>
      </c>
      <c r="O21" s="19"/>
    </row>
    <row r="22" spans="1:15">
      <c r="A22" s="20" t="s">
        <v>53</v>
      </c>
      <c r="B22" t="s">
        <v>54</v>
      </c>
      <c r="C22" s="8" t="s">
        <v>31</v>
      </c>
      <c r="D22" s="2" t="s">
        <v>34</v>
      </c>
      <c r="E22">
        <v>3</v>
      </c>
      <c r="F22">
        <v>5995</v>
      </c>
      <c r="G22">
        <v>700</v>
      </c>
      <c r="H22" s="3">
        <f>Tabel4[[#This Row],[Aconto]]+Tabel4[[#This Row],[Råleje]]</f>
        <v>6695</v>
      </c>
      <c r="I22">
        <v>72</v>
      </c>
      <c r="J22" s="4">
        <f>(Tabel4[[#This Row],[Råleje]]*12)/Tabel4[[#This Row],[kvm]]</f>
        <v>999.16666666666663</v>
      </c>
      <c r="K22" s="5">
        <v>45931</v>
      </c>
      <c r="L22">
        <v>4995</v>
      </c>
      <c r="M22" s="6">
        <f>(Tabel4[[#This Row],[Ny pris]]*12)/Tabel4[[#This Row],[kvm]]</f>
        <v>832.5</v>
      </c>
      <c r="N22" s="6">
        <f>Tabel4[[#This Row],[Ny pris]]-Tabel4[[#This Row],[Råleje]]</f>
        <v>-1000</v>
      </c>
      <c r="O22" s="6"/>
    </row>
    <row r="23" spans="1:15">
      <c r="A23" s="1" t="s">
        <v>55</v>
      </c>
      <c r="B23" t="s">
        <v>51</v>
      </c>
      <c r="D23" s="2" t="s">
        <v>34</v>
      </c>
      <c r="E23">
        <v>2</v>
      </c>
      <c r="F23">
        <v>5995</v>
      </c>
      <c r="G23">
        <v>600</v>
      </c>
      <c r="H23" s="3">
        <f>Tabel4[[#This Row],[Aconto]]+Tabel4[[#This Row],[Råleje]]</f>
        <v>6595</v>
      </c>
      <c r="I23">
        <v>71</v>
      </c>
      <c r="J23" s="4">
        <f>(Tabel4[[#This Row],[Råleje]]*12)/Tabel4[[#This Row],[kvm]]</f>
        <v>1013.2394366197183</v>
      </c>
      <c r="K23" s="5">
        <v>45658</v>
      </c>
      <c r="L23">
        <v>5495</v>
      </c>
      <c r="M23" s="6">
        <f>(Tabel4[[#This Row],[Ny pris]]*12)/Tabel4[[#This Row],[kvm]]</f>
        <v>928.73239436619713</v>
      </c>
      <c r="N23" s="6">
        <f>Tabel4[[#This Row],[Ny pris]]-Tabel4[[#This Row],[Råleje]]</f>
        <v>-500</v>
      </c>
      <c r="O23" s="6" t="s">
        <v>39</v>
      </c>
    </row>
    <row r="24" spans="1:15">
      <c r="A24" s="2" t="s">
        <v>56</v>
      </c>
      <c r="B24" t="s">
        <v>57</v>
      </c>
      <c r="C24" s="8" t="s">
        <v>31</v>
      </c>
      <c r="D24" s="2" t="s">
        <v>34</v>
      </c>
      <c r="E24">
        <v>4</v>
      </c>
      <c r="F24">
        <v>6095</v>
      </c>
      <c r="G24">
        <v>950</v>
      </c>
      <c r="H24" s="3">
        <f>Tabel4[[#This Row],[Aconto]]+Tabel4[[#This Row],[Råleje]]</f>
        <v>7045</v>
      </c>
      <c r="I24">
        <v>95</v>
      </c>
      <c r="J24" s="4">
        <f>(Tabel4[[#This Row],[Råleje]]*12)/Tabel4[[#This Row],[kvm]]</f>
        <v>769.89473684210532</v>
      </c>
      <c r="K24" s="5">
        <v>45962</v>
      </c>
      <c r="L24">
        <v>5995</v>
      </c>
      <c r="M24" s="6">
        <f>(Tabel4[[#This Row],[Ny pris]]*12)/Tabel4[[#This Row],[kvm]]</f>
        <v>757.26315789473688</v>
      </c>
      <c r="N24" s="6">
        <f>Tabel4[[#This Row],[Ny pris]]-Tabel4[[#This Row],[Råleje]]</f>
        <v>-100</v>
      </c>
      <c r="O24" s="6"/>
    </row>
    <row r="25" spans="1:15">
      <c r="A25" s="1" t="s">
        <v>58</v>
      </c>
      <c r="B25" t="s">
        <v>51</v>
      </c>
      <c r="C25" s="10" t="s">
        <v>17</v>
      </c>
      <c r="D25" s="2" t="s">
        <v>34</v>
      </c>
      <c r="E25">
        <v>2</v>
      </c>
      <c r="F25">
        <v>6195</v>
      </c>
      <c r="G25">
        <v>700</v>
      </c>
      <c r="H25" s="3">
        <f>Tabel4[[#This Row],[Aconto]]+Tabel4[[#This Row],[Råleje]]</f>
        <v>6895</v>
      </c>
      <c r="I25">
        <v>64</v>
      </c>
      <c r="J25" s="4">
        <f>(Tabel4[[#This Row],[Råleje]]*12)/Tabel4[[#This Row],[kvm]]</f>
        <v>1161.5625</v>
      </c>
      <c r="K25" s="5">
        <v>45931</v>
      </c>
      <c r="L25">
        <v>5995</v>
      </c>
      <c r="M25" s="6">
        <f>(Tabel4[[#This Row],[Ny pris]]*12)/Tabel4[[#This Row],[kvm]]</f>
        <v>1124.0625</v>
      </c>
      <c r="N25" s="6">
        <f>Tabel4[[#This Row],[Ny pris]]-Tabel4[[#This Row],[Råleje]]</f>
        <v>-200</v>
      </c>
      <c r="O25" s="6"/>
    </row>
    <row r="26" spans="1:15">
      <c r="A26" s="1" t="s">
        <v>59</v>
      </c>
      <c r="B26" t="s">
        <v>60</v>
      </c>
      <c r="C26" s="8" t="s">
        <v>31</v>
      </c>
      <c r="D26" s="2" t="s">
        <v>34</v>
      </c>
      <c r="E26">
        <v>2</v>
      </c>
      <c r="F26">
        <v>6295</v>
      </c>
      <c r="G26">
        <v>900</v>
      </c>
      <c r="H26" s="3">
        <f>Tabel4[[#This Row],[Aconto]]+Tabel4[[#This Row],[Råleje]]</f>
        <v>7195</v>
      </c>
      <c r="I26">
        <v>76</v>
      </c>
      <c r="J26" s="4">
        <f>(Tabel4[[#This Row],[Råleje]]*12)/Tabel4[[#This Row],[kvm]]</f>
        <v>993.9473684210526</v>
      </c>
      <c r="K26" s="5">
        <v>45778</v>
      </c>
      <c r="L26">
        <v>5995</v>
      </c>
      <c r="M26" s="6">
        <f>(Tabel4[[#This Row],[Ny pris]]*12)/Tabel4[[#This Row],[kvm]]</f>
        <v>946.57894736842104</v>
      </c>
      <c r="N26" s="6">
        <f>Tabel4[[#This Row],[Ny pris]]-Tabel4[[#This Row],[Råleje]]</f>
        <v>-300</v>
      </c>
      <c r="O26" s="6"/>
    </row>
    <row r="27" spans="1:15">
      <c r="A27" s="1" t="s">
        <v>61</v>
      </c>
      <c r="B27" t="s">
        <v>62</v>
      </c>
      <c r="D27" s="2" t="s">
        <v>34</v>
      </c>
      <c r="E27">
        <v>3</v>
      </c>
      <c r="F27">
        <v>6495</v>
      </c>
      <c r="G27">
        <v>700</v>
      </c>
      <c r="H27" s="3">
        <f>Tabel4[[#This Row],[Aconto]]+Tabel4[[#This Row],[Råleje]]</f>
        <v>7195</v>
      </c>
      <c r="I27">
        <v>76</v>
      </c>
      <c r="J27" s="4">
        <f>(Tabel4[[#This Row],[Råleje]]*12)/Tabel4[[#This Row],[kvm]]</f>
        <v>1025.5263157894738</v>
      </c>
      <c r="K27" s="5">
        <v>45870</v>
      </c>
      <c r="L27">
        <v>6295</v>
      </c>
      <c r="M27" s="6">
        <f>(Tabel4[[#This Row],[Ny pris]]*12)/Tabel4[[#This Row],[kvm]]</f>
        <v>993.9473684210526</v>
      </c>
      <c r="N27" s="6">
        <f>Tabel4[[#This Row],[Ny pris]]-Tabel4[[#This Row],[Råleje]]</f>
        <v>-200</v>
      </c>
      <c r="O27" s="6"/>
    </row>
    <row r="28" spans="1:15">
      <c r="A28" s="20" t="s">
        <v>63</v>
      </c>
      <c r="B28" t="s">
        <v>64</v>
      </c>
      <c r="D28" s="2" t="s">
        <v>34</v>
      </c>
      <c r="E28">
        <v>3</v>
      </c>
      <c r="F28">
        <v>6495</v>
      </c>
      <c r="G28">
        <v>800</v>
      </c>
      <c r="H28" s="3">
        <f>Tabel4[[#This Row],[Aconto]]+Tabel4[[#This Row],[Råleje]]</f>
        <v>7295</v>
      </c>
      <c r="I28">
        <v>86</v>
      </c>
      <c r="J28" s="4">
        <f>(Tabel4[[#This Row],[Råleje]]*12)/Tabel4[[#This Row],[kvm]]</f>
        <v>906.27906976744191</v>
      </c>
      <c r="K28" s="5">
        <v>45839</v>
      </c>
      <c r="L28">
        <v>6250</v>
      </c>
      <c r="M28" s="6">
        <f>(Tabel4[[#This Row],[Ny pris]]*12)/Tabel4[[#This Row],[kvm]]</f>
        <v>872.09302325581393</v>
      </c>
      <c r="N28" s="6">
        <f>Tabel4[[#This Row],[Ny pris]]-Tabel4[[#This Row],[Råleje]]</f>
        <v>-245</v>
      </c>
      <c r="O28" s="6"/>
    </row>
    <row r="29" spans="1:15">
      <c r="A29" s="1" t="s">
        <v>65</v>
      </c>
      <c r="B29" t="s">
        <v>64</v>
      </c>
      <c r="C29" s="8" t="s">
        <v>31</v>
      </c>
      <c r="D29" s="2" t="s">
        <v>34</v>
      </c>
      <c r="E29">
        <v>3</v>
      </c>
      <c r="F29">
        <v>6495</v>
      </c>
      <c r="G29">
        <v>900</v>
      </c>
      <c r="H29" s="3">
        <f>Tabel4[[#This Row],[Aconto]]+Tabel4[[#This Row],[Råleje]]</f>
        <v>7395</v>
      </c>
      <c r="I29">
        <v>86</v>
      </c>
      <c r="J29" s="4">
        <f>(Tabel4[[#This Row],[Råleje]]*12)/Tabel4[[#This Row],[kvm]]</f>
        <v>906.27906976744191</v>
      </c>
      <c r="K29" s="5">
        <v>45870</v>
      </c>
      <c r="L29">
        <v>5995</v>
      </c>
      <c r="M29" s="6">
        <f>(Tabel4[[#This Row],[Ny pris]]*12)/Tabel4[[#This Row],[kvm]]</f>
        <v>836.51162790697674</v>
      </c>
      <c r="N29" s="6">
        <f>Tabel4[[#This Row],[Ny pris]]-Tabel4[[#This Row],[Råleje]]</f>
        <v>-500</v>
      </c>
      <c r="O29" s="6"/>
    </row>
    <row r="30" spans="1:15">
      <c r="A30" s="20" t="s">
        <v>66</v>
      </c>
      <c r="B30" t="s">
        <v>22</v>
      </c>
      <c r="C30" s="8" t="s">
        <v>31</v>
      </c>
      <c r="D30" s="2" t="s">
        <v>34</v>
      </c>
      <c r="E30">
        <v>2</v>
      </c>
      <c r="F30">
        <v>6495</v>
      </c>
      <c r="G30">
        <v>1100</v>
      </c>
      <c r="H30" s="3">
        <f>Tabel4[[#This Row],[Aconto]]+Tabel4[[#This Row],[Råleje]]</f>
        <v>7595</v>
      </c>
      <c r="I30">
        <v>74</v>
      </c>
      <c r="J30" s="4">
        <f>(Tabel4[[#This Row],[Råleje]]*12)/Tabel4[[#This Row],[kvm]]</f>
        <v>1053.2432432432433</v>
      </c>
      <c r="K30" s="5">
        <v>45658</v>
      </c>
      <c r="L30">
        <v>6495</v>
      </c>
      <c r="M30" s="6">
        <f>(Tabel4[[#This Row],[Ny pris]]*12)/Tabel4[[#This Row],[kvm]]</f>
        <v>1053.2432432432433</v>
      </c>
      <c r="N30" s="6">
        <f>Tabel4[[#This Row],[Ny pris]]-Tabel4[[#This Row],[Råleje]]</f>
        <v>0</v>
      </c>
      <c r="O30" s="6"/>
    </row>
    <row r="31" spans="1:15">
      <c r="A31" s="20" t="s">
        <v>67</v>
      </c>
      <c r="B31" t="s">
        <v>22</v>
      </c>
      <c r="D31" s="2" t="s">
        <v>34</v>
      </c>
      <c r="E31">
        <v>2</v>
      </c>
      <c r="F31">
        <v>6575</v>
      </c>
      <c r="G31">
        <v>1200</v>
      </c>
      <c r="H31" s="3">
        <f>Tabel4[[#This Row],[Aconto]]+Tabel4[[#This Row],[Råleje]]</f>
        <v>7775</v>
      </c>
      <c r="I31">
        <v>71</v>
      </c>
      <c r="J31" s="4">
        <f>(Tabel4[[#This Row],[Råleje]]*12)/Tabel4[[#This Row],[kvm]]</f>
        <v>1111.2676056338028</v>
      </c>
      <c r="K31" s="5">
        <v>45778</v>
      </c>
      <c r="L31">
        <v>6575</v>
      </c>
      <c r="M31" s="6">
        <f>(Tabel4[[#This Row],[Ny pris]]*12)/Tabel4[[#This Row],[kvm]]</f>
        <v>1111.2676056338028</v>
      </c>
      <c r="N31" s="6">
        <f>Tabel4[[#This Row],[Ny pris]]-Tabel4[[#This Row],[Råleje]]</f>
        <v>0</v>
      </c>
      <c r="O31" s="6" t="s">
        <v>39</v>
      </c>
    </row>
    <row r="32" spans="1:15">
      <c r="A32" s="20" t="s">
        <v>68</v>
      </c>
      <c r="B32" t="s">
        <v>46</v>
      </c>
      <c r="C32" s="8" t="s">
        <v>31</v>
      </c>
      <c r="D32" s="2" t="s">
        <v>34</v>
      </c>
      <c r="E32">
        <v>3</v>
      </c>
      <c r="F32">
        <v>6595</v>
      </c>
      <c r="G32">
        <v>800</v>
      </c>
      <c r="H32" s="3">
        <f>Tabel4[[#This Row],[Aconto]]+Tabel4[[#This Row],[Råleje]]</f>
        <v>7395</v>
      </c>
      <c r="I32">
        <v>82</v>
      </c>
      <c r="J32" s="4">
        <f>(Tabel4[[#This Row],[Råleje]]*12)/Tabel4[[#This Row],[kvm]]</f>
        <v>965.1219512195122</v>
      </c>
      <c r="K32" s="5">
        <v>45901</v>
      </c>
      <c r="L32">
        <v>6495</v>
      </c>
      <c r="M32" s="6">
        <f>(Tabel4[[#This Row],[Ny pris]]*12)/Tabel4[[#This Row],[kvm]]</f>
        <v>950.48780487804879</v>
      </c>
      <c r="N32" s="6">
        <f>Tabel4[[#This Row],[Ny pris]]-Tabel4[[#This Row],[Råleje]]</f>
        <v>-100</v>
      </c>
      <c r="O32" s="6"/>
    </row>
    <row r="33" spans="1:15">
      <c r="A33" s="21" t="s">
        <v>69</v>
      </c>
      <c r="B33" t="s">
        <v>27</v>
      </c>
      <c r="C33" s="7">
        <v>45992</v>
      </c>
      <c r="D33" s="2" t="s">
        <v>23</v>
      </c>
      <c r="E33" s="3">
        <v>2</v>
      </c>
      <c r="F33" s="11">
        <v>6695</v>
      </c>
      <c r="G33" s="3">
        <v>900</v>
      </c>
      <c r="H33" s="3">
        <f>Tabel4[[#This Row],[Aconto]]+Tabel4[[#This Row],[Råleje]]</f>
        <v>7595</v>
      </c>
      <c r="I33" s="3">
        <v>94</v>
      </c>
      <c r="J33" s="4">
        <f>(Tabel4[[#This Row],[Råleje]]*12)/Tabel4[[#This Row],[kvm]]</f>
        <v>854.68085106382978</v>
      </c>
      <c r="K33" s="5">
        <v>45992</v>
      </c>
      <c r="L33" s="6">
        <v>6295</v>
      </c>
      <c r="M33" s="6">
        <f>(Tabel4[[#This Row],[Ny pris]]*12)/Tabel4[[#This Row],[kvm]]</f>
        <v>803.61702127659578</v>
      </c>
      <c r="N33" s="6">
        <f>Tabel4[[#This Row],[Ny pris]]-Tabel4[[#This Row],[Råleje]]</f>
        <v>-400</v>
      </c>
      <c r="O33" s="6"/>
    </row>
    <row r="34" spans="1:15">
      <c r="A34" s="1" t="s">
        <v>70</v>
      </c>
      <c r="B34" t="s">
        <v>64</v>
      </c>
      <c r="D34" s="2" t="s">
        <v>71</v>
      </c>
      <c r="E34">
        <v>4</v>
      </c>
      <c r="F34">
        <v>6795</v>
      </c>
      <c r="G34">
        <v>800</v>
      </c>
      <c r="H34" s="3">
        <f>Tabel4[[#This Row],[Aconto]]+Tabel4[[#This Row],[Råleje]]</f>
        <v>7595</v>
      </c>
      <c r="I34">
        <v>100</v>
      </c>
      <c r="J34" s="4">
        <f>(Tabel4[[#This Row],[Råleje]]*12)/Tabel4[[#This Row],[kvm]]</f>
        <v>815.4</v>
      </c>
      <c r="K34" s="5">
        <v>45870</v>
      </c>
      <c r="L34">
        <v>6795</v>
      </c>
      <c r="M34" s="6">
        <f>(Tabel4[[#This Row],[Ny pris]]*12)/Tabel4[[#This Row],[kvm]]</f>
        <v>815.4</v>
      </c>
      <c r="N34" s="6">
        <f>Tabel4[[#This Row],[Ny pris]]-Tabel4[[#This Row],[Råleje]]</f>
        <v>0</v>
      </c>
      <c r="O34" s="6"/>
    </row>
    <row r="35" spans="1:15">
      <c r="A35" s="20" t="s">
        <v>72</v>
      </c>
      <c r="B35" t="s">
        <v>73</v>
      </c>
      <c r="C35" s="8" t="s">
        <v>31</v>
      </c>
      <c r="D35" s="2" t="s">
        <v>34</v>
      </c>
      <c r="E35">
        <v>3</v>
      </c>
      <c r="F35">
        <v>6795</v>
      </c>
      <c r="G35">
        <v>800</v>
      </c>
      <c r="H35" s="3">
        <f>Tabel4[[#This Row],[Aconto]]+Tabel4[[#This Row],[Råleje]]</f>
        <v>7595</v>
      </c>
      <c r="I35">
        <v>78</v>
      </c>
      <c r="J35" s="4">
        <f>(Tabel4[[#This Row],[Råleje]]*12)/Tabel4[[#This Row],[kvm]]</f>
        <v>1045.3846153846155</v>
      </c>
      <c r="K35" s="5">
        <v>45901</v>
      </c>
      <c r="L35">
        <v>6495</v>
      </c>
      <c r="M35" s="6">
        <f>(Tabel4[[#This Row],[Ny pris]]*12)/Tabel4[[#This Row],[kvm]]</f>
        <v>999.23076923076928</v>
      </c>
      <c r="N35" s="6">
        <f>Tabel4[[#This Row],[Ny pris]]-Tabel4[[#This Row],[Råleje]]</f>
        <v>-300</v>
      </c>
      <c r="O35" s="6"/>
    </row>
    <row r="36" spans="1:15">
      <c r="A36" s="1" t="s">
        <v>74</v>
      </c>
      <c r="B36" t="s">
        <v>22</v>
      </c>
      <c r="C36" s="8" t="s">
        <v>31</v>
      </c>
      <c r="D36" s="2" t="s">
        <v>18</v>
      </c>
      <c r="E36">
        <v>2</v>
      </c>
      <c r="F36">
        <v>6795</v>
      </c>
      <c r="G36">
        <v>1300</v>
      </c>
      <c r="H36" s="3">
        <f>Tabel4[[#This Row],[Aconto]]+Tabel4[[#This Row],[Råleje]]</f>
        <v>8095</v>
      </c>
      <c r="I36">
        <v>82</v>
      </c>
      <c r="J36" s="4">
        <f>(Tabel4[[#This Row],[Råleje]]*12)/Tabel4[[#This Row],[kvm]]</f>
        <v>994.39024390243901</v>
      </c>
      <c r="K36" s="5">
        <v>44347</v>
      </c>
      <c r="L36">
        <v>6795</v>
      </c>
      <c r="M36" s="6">
        <f>(Tabel4[[#This Row],[Ny pris]]*12)/Tabel4[[#This Row],[kvm]]</f>
        <v>994.39024390243901</v>
      </c>
      <c r="N36" s="6">
        <f>Tabel4[[#This Row],[Ny pris]]-Tabel4[[#This Row],[Råleje]]</f>
        <v>0</v>
      </c>
      <c r="O36" s="6"/>
    </row>
    <row r="37" spans="1:15">
      <c r="A37" s="20" t="s">
        <v>75</v>
      </c>
      <c r="B37" t="s">
        <v>22</v>
      </c>
      <c r="C37" s="8" t="s">
        <v>31</v>
      </c>
      <c r="D37" s="2" t="s">
        <v>34</v>
      </c>
      <c r="E37">
        <v>2</v>
      </c>
      <c r="F37">
        <v>6795</v>
      </c>
      <c r="G37">
        <v>1200</v>
      </c>
      <c r="H37" s="3">
        <f>Tabel4[[#This Row],[Aconto]]+Tabel4[[#This Row],[Råleje]]</f>
        <v>7995</v>
      </c>
      <c r="I37">
        <v>82</v>
      </c>
      <c r="J37" s="4">
        <f>(Tabel4[[#This Row],[Råleje]]*12)/Tabel4[[#This Row],[kvm]]</f>
        <v>994.39024390243901</v>
      </c>
      <c r="K37" s="5">
        <v>43252</v>
      </c>
      <c r="L37">
        <v>6795</v>
      </c>
      <c r="M37" s="6">
        <f>(Tabel4[[#This Row],[Ny pris]]*12)/Tabel4[[#This Row],[kvm]]</f>
        <v>994.39024390243901</v>
      </c>
      <c r="N37" s="6">
        <f>Tabel4[[#This Row],[Ny pris]]-Tabel4[[#This Row],[Råleje]]</f>
        <v>0</v>
      </c>
      <c r="O37" s="6"/>
    </row>
    <row r="38" spans="1:15">
      <c r="A38" s="1" t="s">
        <v>76</v>
      </c>
      <c r="B38" t="s">
        <v>77</v>
      </c>
      <c r="D38" s="2" t="s">
        <v>34</v>
      </c>
      <c r="E38">
        <v>3</v>
      </c>
      <c r="F38">
        <v>6995</v>
      </c>
      <c r="G38">
        <v>750</v>
      </c>
      <c r="H38" s="3">
        <f>Tabel4[[#This Row],[Aconto]]+Tabel4[[#This Row],[Råleje]]</f>
        <v>7745</v>
      </c>
      <c r="I38">
        <v>90</v>
      </c>
      <c r="J38" s="4">
        <f>(Tabel4[[#This Row],[Råleje]]*12)/Tabel4[[#This Row],[kvm]]</f>
        <v>932.66666666666663</v>
      </c>
      <c r="K38" s="5">
        <v>45778</v>
      </c>
      <c r="L38">
        <v>6495</v>
      </c>
      <c r="M38" s="6">
        <f>(Tabel4[[#This Row],[Ny pris]]*12)/Tabel4[[#This Row],[kvm]]</f>
        <v>866</v>
      </c>
      <c r="N38" s="6">
        <f>Tabel4[[#This Row],[Ny pris]]-Tabel4[[#This Row],[Råleje]]</f>
        <v>-500</v>
      </c>
      <c r="O38" s="6"/>
    </row>
    <row r="39" spans="1:15">
      <c r="A39" s="20" t="s">
        <v>78</v>
      </c>
      <c r="B39" t="s">
        <v>25</v>
      </c>
      <c r="D39" s="2" t="s">
        <v>34</v>
      </c>
      <c r="E39">
        <v>2</v>
      </c>
      <c r="F39">
        <v>6995</v>
      </c>
      <c r="G39">
        <v>800</v>
      </c>
      <c r="H39" s="3">
        <f>Tabel4[[#This Row],[Aconto]]+Tabel4[[#This Row],[Råleje]]</f>
        <v>7795</v>
      </c>
      <c r="I39">
        <v>94</v>
      </c>
      <c r="J39" s="4">
        <f>(Tabel4[[#This Row],[Råleje]]*12)/Tabel4[[#This Row],[kvm]]</f>
        <v>892.97872340425533</v>
      </c>
      <c r="K39" s="5">
        <v>45748</v>
      </c>
      <c r="L39">
        <v>6250</v>
      </c>
      <c r="M39" s="6">
        <f>(Tabel4[[#This Row],[Ny pris]]*12)/Tabel4[[#This Row],[kvm]]</f>
        <v>797.87234042553189</v>
      </c>
      <c r="N39" s="6">
        <f>Tabel4[[#This Row],[Ny pris]]-Tabel4[[#This Row],[Råleje]]</f>
        <v>-745</v>
      </c>
      <c r="O39" s="6"/>
    </row>
    <row r="40" spans="1:15">
      <c r="A40" s="20" t="s">
        <v>79</v>
      </c>
      <c r="B40" t="s">
        <v>80</v>
      </c>
      <c r="D40" s="2" t="s">
        <v>34</v>
      </c>
      <c r="E40">
        <v>3</v>
      </c>
      <c r="F40">
        <v>6995</v>
      </c>
      <c r="G40">
        <v>750</v>
      </c>
      <c r="H40" s="3">
        <f>Tabel4[[#This Row],[Aconto]]+Tabel4[[#This Row],[Råleje]]</f>
        <v>7745</v>
      </c>
      <c r="I40">
        <v>77</v>
      </c>
      <c r="J40" s="4">
        <f>(Tabel4[[#This Row],[Råleje]]*12)/Tabel4[[#This Row],[kvm]]</f>
        <v>1090.1298701298701</v>
      </c>
      <c r="K40" s="5">
        <v>45689</v>
      </c>
      <c r="L40">
        <v>6495</v>
      </c>
      <c r="M40" s="6">
        <f>(Tabel4[[#This Row],[Ny pris]]*12)/Tabel4[[#This Row],[kvm]]</f>
        <v>1012.2077922077922</v>
      </c>
      <c r="N40" s="6">
        <f>Tabel4[[#This Row],[Ny pris]]-Tabel4[[#This Row],[Råleje]]</f>
        <v>-500</v>
      </c>
      <c r="O40" s="6"/>
    </row>
    <row r="41" spans="1:15">
      <c r="A41" s="20" t="s">
        <v>81</v>
      </c>
      <c r="B41" t="s">
        <v>82</v>
      </c>
      <c r="D41" s="2" t="s">
        <v>34</v>
      </c>
      <c r="E41">
        <v>2</v>
      </c>
      <c r="F41">
        <v>6995</v>
      </c>
      <c r="G41">
        <v>800</v>
      </c>
      <c r="H41" s="3">
        <f>Tabel4[[#This Row],[Aconto]]+Tabel4[[#This Row],[Råleje]]</f>
        <v>7795</v>
      </c>
      <c r="I41">
        <v>94</v>
      </c>
      <c r="J41" s="4">
        <f>(Tabel4[[#This Row],[Råleje]]*12)/Tabel4[[#This Row],[kvm]]</f>
        <v>892.97872340425533</v>
      </c>
      <c r="K41" s="5">
        <v>45597</v>
      </c>
      <c r="L41">
        <v>6350</v>
      </c>
      <c r="M41" s="6">
        <f>(Tabel4[[#This Row],[Ny pris]]*12)/Tabel4[[#This Row],[kvm]]</f>
        <v>810.63829787234044</v>
      </c>
      <c r="N41" s="6">
        <f>Tabel4[[#This Row],[Ny pris]]-Tabel4[[#This Row],[Råleje]]</f>
        <v>-645</v>
      </c>
      <c r="O41" s="6"/>
    </row>
    <row r="42" spans="1:15">
      <c r="A42" s="20" t="s">
        <v>83</v>
      </c>
      <c r="B42" t="s">
        <v>22</v>
      </c>
      <c r="C42" t="s">
        <v>17</v>
      </c>
      <c r="D42" s="2" t="s">
        <v>34</v>
      </c>
      <c r="E42">
        <v>3</v>
      </c>
      <c r="F42">
        <v>6995</v>
      </c>
      <c r="G42">
        <v>1200</v>
      </c>
      <c r="H42" s="3">
        <f>Tabel4[[#This Row],[Aconto]]+Tabel4[[#This Row],[Råleje]]</f>
        <v>8195</v>
      </c>
      <c r="I42">
        <v>84</v>
      </c>
      <c r="J42" s="4">
        <f>(Tabel4[[#This Row],[Råleje]]*12)/Tabel4[[#This Row],[kvm]]</f>
        <v>999.28571428571433</v>
      </c>
      <c r="K42" s="5">
        <v>43374</v>
      </c>
      <c r="L42">
        <v>6995</v>
      </c>
      <c r="M42" s="6">
        <f>(Tabel4[[#This Row],[Ny pris]]*12)/Tabel4[[#This Row],[kvm]]</f>
        <v>999.28571428571433</v>
      </c>
      <c r="N42" s="6">
        <f>Tabel4[[#This Row],[Ny pris]]-Tabel4[[#This Row],[Råleje]]</f>
        <v>0</v>
      </c>
      <c r="O42" s="6"/>
    </row>
    <row r="43" spans="1:15">
      <c r="A43" s="2" t="s">
        <v>84</v>
      </c>
      <c r="B43" t="s">
        <v>85</v>
      </c>
      <c r="C43" s="8" t="s">
        <v>31</v>
      </c>
      <c r="D43" s="2" t="s">
        <v>34</v>
      </c>
      <c r="E43">
        <v>3</v>
      </c>
      <c r="F43">
        <v>6995</v>
      </c>
      <c r="G43">
        <v>1100</v>
      </c>
      <c r="H43" s="3">
        <f>Tabel4[[#This Row],[Aconto]]+Tabel4[[#This Row],[Råleje]]</f>
        <v>8095</v>
      </c>
      <c r="I43">
        <v>109</v>
      </c>
      <c r="J43" s="4">
        <f>(Tabel4[[#This Row],[Råleje]]*12)/Tabel4[[#This Row],[kvm]]</f>
        <v>770.09174311926608</v>
      </c>
      <c r="K43" s="5">
        <v>45992</v>
      </c>
      <c r="L43">
        <v>6995</v>
      </c>
      <c r="M43" s="6">
        <f>(Tabel4[[#This Row],[Ny pris]]*12)/Tabel4[[#This Row],[kvm]]</f>
        <v>770.09174311926608</v>
      </c>
      <c r="N43" s="6">
        <f>Tabel4[[#This Row],[Ny pris]]-Tabel4[[#This Row],[Råleje]]</f>
        <v>0</v>
      </c>
      <c r="O43" s="6"/>
    </row>
    <row r="44" spans="1:15">
      <c r="A44" s="20" t="s">
        <v>86</v>
      </c>
      <c r="B44" t="s">
        <v>87</v>
      </c>
      <c r="C44" s="8" t="s">
        <v>31</v>
      </c>
      <c r="D44" s="2" t="s">
        <v>34</v>
      </c>
      <c r="E44">
        <v>3</v>
      </c>
      <c r="F44">
        <v>6995</v>
      </c>
      <c r="G44">
        <v>800</v>
      </c>
      <c r="H44" s="3">
        <f>Tabel4[[#This Row],[Aconto]]+Tabel4[[#This Row],[Råleje]]</f>
        <v>7795</v>
      </c>
      <c r="I44">
        <v>85</v>
      </c>
      <c r="J44" s="4">
        <f>(Tabel4[[#This Row],[Råleje]]*12)/Tabel4[[#This Row],[kvm]]</f>
        <v>987.52941176470586</v>
      </c>
      <c r="K44" s="5">
        <v>45717</v>
      </c>
      <c r="L44">
        <v>6495</v>
      </c>
      <c r="M44" s="6">
        <f>(Tabel4[[#This Row],[Ny pris]]*12)/Tabel4[[#This Row],[kvm]]</f>
        <v>916.94117647058829</v>
      </c>
      <c r="N44" s="6">
        <f>Tabel4[[#This Row],[Ny pris]]-Tabel4[[#This Row],[Råleje]]</f>
        <v>-500</v>
      </c>
      <c r="O44" s="6"/>
    </row>
    <row r="45" spans="1:15">
      <c r="A45" s="1" t="s">
        <v>88</v>
      </c>
      <c r="B45" t="s">
        <v>22</v>
      </c>
      <c r="C45" s="8" t="s">
        <v>31</v>
      </c>
      <c r="D45" s="2" t="s">
        <v>34</v>
      </c>
      <c r="E45">
        <v>2</v>
      </c>
      <c r="F45">
        <v>6995</v>
      </c>
      <c r="G45">
        <v>1200</v>
      </c>
      <c r="H45" s="3">
        <f>Tabel4[[#This Row],[Aconto]]+Tabel4[[#This Row],[Råleje]]</f>
        <v>8195</v>
      </c>
      <c r="I45">
        <v>82</v>
      </c>
      <c r="J45" s="4">
        <f>(Tabel4[[#This Row],[Råleje]]*12)/Tabel4[[#This Row],[kvm]]</f>
        <v>1023.6585365853658</v>
      </c>
      <c r="K45" s="5">
        <v>45488</v>
      </c>
      <c r="L45">
        <v>6995</v>
      </c>
      <c r="M45" s="6">
        <f>(Tabel4[[#This Row],[Ny pris]]*12)/Tabel4[[#This Row],[kvm]]</f>
        <v>1023.6585365853658</v>
      </c>
      <c r="N45" s="6">
        <f>Tabel4[[#This Row],[Ny pris]]-Tabel4[[#This Row],[Råleje]]</f>
        <v>0</v>
      </c>
      <c r="O45" s="6"/>
    </row>
    <row r="46" spans="1:15">
      <c r="A46" s="2" t="s">
        <v>89</v>
      </c>
      <c r="B46" t="s">
        <v>90</v>
      </c>
      <c r="C46" s="7">
        <v>45962</v>
      </c>
      <c r="D46" s="2" t="s">
        <v>23</v>
      </c>
      <c r="E46">
        <v>3</v>
      </c>
      <c r="F46">
        <v>7195</v>
      </c>
      <c r="G46">
        <v>800</v>
      </c>
      <c r="H46" s="3">
        <f>Tabel4[[#This Row],[Aconto]]+Tabel4[[#This Row],[Råleje]]</f>
        <v>7995</v>
      </c>
      <c r="I46">
        <v>90</v>
      </c>
      <c r="J46" s="4">
        <f>(Tabel4[[#This Row],[Råleje]]*12)/Tabel4[[#This Row],[kvm]]</f>
        <v>959.33333333333337</v>
      </c>
      <c r="K46" s="5">
        <v>45992</v>
      </c>
      <c r="L46">
        <v>6450</v>
      </c>
      <c r="M46" s="6">
        <f>(Tabel4[[#This Row],[Ny pris]]*12)/Tabel4[[#This Row],[kvm]]</f>
        <v>860</v>
      </c>
      <c r="N46" s="6">
        <f>Tabel4[[#This Row],[Ny pris]]-Tabel4[[#This Row],[Råleje]]</f>
        <v>-745</v>
      </c>
      <c r="O46" s="6"/>
    </row>
    <row r="47" spans="1:15">
      <c r="A47" s="22" t="s">
        <v>91</v>
      </c>
      <c r="B47" s="23" t="s">
        <v>90</v>
      </c>
      <c r="C47" s="23" t="s">
        <v>17</v>
      </c>
      <c r="D47" s="24" t="s">
        <v>34</v>
      </c>
      <c r="E47" s="23"/>
      <c r="F47" s="23">
        <v>7195</v>
      </c>
      <c r="G47" s="23">
        <v>800</v>
      </c>
      <c r="H47" s="25">
        <f>Tabel4[[#This Row],[Aconto]]+Tabel4[[#This Row],[Råleje]]</f>
        <v>7995</v>
      </c>
      <c r="I47" s="23">
        <v>90</v>
      </c>
      <c r="J47" s="26">
        <f>(Tabel4[[#This Row],[Råleje]]*12)/Tabel4[[#This Row],[kvm]]</f>
        <v>959.33333333333337</v>
      </c>
      <c r="K47" s="27">
        <v>45839</v>
      </c>
      <c r="L47" s="23">
        <v>7195</v>
      </c>
      <c r="M47" s="28">
        <f>(Tabel4[[#This Row],[Ny pris]]*12)/Tabel4[[#This Row],[kvm]]</f>
        <v>959.33333333333337</v>
      </c>
      <c r="N47" s="28">
        <f>Tabel4[[#This Row],[Ny pris]]-Tabel4[[#This Row],[Råleje]]</f>
        <v>0</v>
      </c>
      <c r="O47" s="28" t="s">
        <v>39</v>
      </c>
    </row>
    <row r="48" spans="1:15">
      <c r="A48" s="1" t="s">
        <v>92</v>
      </c>
      <c r="B48" t="s">
        <v>93</v>
      </c>
      <c r="C48" s="8" t="s">
        <v>31</v>
      </c>
      <c r="D48" s="2" t="s">
        <v>34</v>
      </c>
      <c r="E48">
        <v>4</v>
      </c>
      <c r="F48">
        <v>7195</v>
      </c>
      <c r="G48">
        <v>900</v>
      </c>
      <c r="H48" s="3">
        <f>Tabel4[[#This Row],[Aconto]]+Tabel4[[#This Row],[Råleje]]</f>
        <v>8095</v>
      </c>
      <c r="I48">
        <v>85</v>
      </c>
      <c r="J48" s="4">
        <f>(Tabel4[[#This Row],[Råleje]]*12)/Tabel4[[#This Row],[kvm]]</f>
        <v>1015.7647058823529</v>
      </c>
      <c r="K48" s="5">
        <v>45931</v>
      </c>
      <c r="L48">
        <v>6795</v>
      </c>
      <c r="M48" s="6">
        <f>(Tabel4[[#This Row],[Ny pris]]*12)/Tabel4[[#This Row],[kvm]]</f>
        <v>959.29411764705878</v>
      </c>
      <c r="N48" s="6">
        <f>Tabel4[[#This Row],[Ny pris]]-Tabel4[[#This Row],[Råleje]]</f>
        <v>-400</v>
      </c>
      <c r="O48" s="6"/>
    </row>
    <row r="49" spans="1:15">
      <c r="A49" s="20" t="s">
        <v>94</v>
      </c>
      <c r="B49" t="s">
        <v>95</v>
      </c>
      <c r="C49" s="8" t="s">
        <v>31</v>
      </c>
      <c r="D49" s="2" t="s">
        <v>34</v>
      </c>
      <c r="E49">
        <v>3</v>
      </c>
      <c r="F49">
        <v>7295</v>
      </c>
      <c r="G49">
        <v>900</v>
      </c>
      <c r="H49" s="3">
        <f>Tabel4[[#This Row],[Aconto]]+Tabel4[[#This Row],[Råleje]]</f>
        <v>8195</v>
      </c>
      <c r="I49">
        <v>95</v>
      </c>
      <c r="J49" s="4">
        <f>(Tabel4[[#This Row],[Råleje]]*12)/Tabel4[[#This Row],[kvm]]</f>
        <v>921.47368421052636</v>
      </c>
      <c r="K49" s="5">
        <v>45839</v>
      </c>
      <c r="L49">
        <v>6995</v>
      </c>
      <c r="M49" s="6">
        <f>(Tabel4[[#This Row],[Ny pris]]*12)/Tabel4[[#This Row],[kvm]]</f>
        <v>883.57894736842104</v>
      </c>
      <c r="N49" s="6">
        <f>Tabel4[[#This Row],[Ny pris]]-Tabel4[[#This Row],[Råleje]]</f>
        <v>-300</v>
      </c>
      <c r="O49" s="6"/>
    </row>
    <row r="50" spans="1:15">
      <c r="A50" s="21" t="s">
        <v>96</v>
      </c>
      <c r="B50" t="s">
        <v>97</v>
      </c>
      <c r="C50" s="7">
        <v>45962</v>
      </c>
      <c r="D50" s="2" t="s">
        <v>23</v>
      </c>
      <c r="E50">
        <v>3</v>
      </c>
      <c r="F50">
        <v>7495</v>
      </c>
      <c r="G50">
        <v>700</v>
      </c>
      <c r="H50" s="3">
        <f>Tabel4[[#This Row],[Aconto]]+Tabel4[[#This Row],[Råleje]]</f>
        <v>8195</v>
      </c>
      <c r="I50">
        <v>71</v>
      </c>
      <c r="J50" s="4">
        <f>(Tabel4[[#This Row],[Råleje]]*12)/Tabel4[[#This Row],[kvm]]</f>
        <v>1266.7605633802816</v>
      </c>
      <c r="K50" s="5">
        <v>45962</v>
      </c>
      <c r="L50">
        <v>6995</v>
      </c>
      <c r="M50" s="6">
        <f>(Tabel4[[#This Row],[Ny pris]]*12)/Tabel4[[#This Row],[kvm]]</f>
        <v>1182.2535211267605</v>
      </c>
      <c r="N50" s="6">
        <f>Tabel4[[#This Row],[Ny pris]]-Tabel4[[#This Row],[Råleje]]</f>
        <v>-500</v>
      </c>
      <c r="O50" s="6"/>
    </row>
    <row r="51" spans="1:15">
      <c r="A51" s="1" t="s">
        <v>98</v>
      </c>
      <c r="B51" t="s">
        <v>99</v>
      </c>
      <c r="D51" s="2" t="s">
        <v>34</v>
      </c>
      <c r="E51">
        <v>3</v>
      </c>
      <c r="F51">
        <v>7495</v>
      </c>
      <c r="G51">
        <v>700</v>
      </c>
      <c r="H51" s="3">
        <f>Tabel4[[#This Row],[Aconto]]+Tabel4[[#This Row],[Råleje]]</f>
        <v>8195</v>
      </c>
      <c r="I51">
        <v>97</v>
      </c>
      <c r="J51" s="4">
        <f>(Tabel4[[#This Row],[Råleje]]*12)/Tabel4[[#This Row],[kvm]]</f>
        <v>927.21649484536078</v>
      </c>
      <c r="K51" s="5">
        <v>45839</v>
      </c>
      <c r="L51">
        <v>6995</v>
      </c>
      <c r="M51" s="6">
        <f>(Tabel4[[#This Row],[Ny pris]]*12)/Tabel4[[#This Row],[kvm]]</f>
        <v>865.36082474226805</v>
      </c>
      <c r="N51" s="6">
        <f>Tabel4[[#This Row],[Ny pris]]-Tabel4[[#This Row],[Råleje]]</f>
        <v>-500</v>
      </c>
      <c r="O51" s="6"/>
    </row>
    <row r="52" spans="1:15">
      <c r="A52" s="20" t="s">
        <v>100</v>
      </c>
      <c r="B52" t="s">
        <v>22</v>
      </c>
      <c r="C52" s="8" t="s">
        <v>31</v>
      </c>
      <c r="D52" s="2" t="s">
        <v>34</v>
      </c>
      <c r="E52">
        <v>3</v>
      </c>
      <c r="F52">
        <v>7495</v>
      </c>
      <c r="G52">
        <v>1200</v>
      </c>
      <c r="H52" s="3">
        <f>Tabel4[[#This Row],[Aconto]]+Tabel4[[#This Row],[Råleje]]</f>
        <v>8695</v>
      </c>
      <c r="I52">
        <v>89</v>
      </c>
      <c r="J52" s="4">
        <f>(Tabel4[[#This Row],[Råleje]]*12)/Tabel4[[#This Row],[kvm]]</f>
        <v>1010.561797752809</v>
      </c>
      <c r="K52" s="5">
        <v>44896</v>
      </c>
      <c r="L52">
        <v>7495</v>
      </c>
      <c r="M52" s="6">
        <f>(Tabel4[[#This Row],[Ny pris]]*12)/Tabel4[[#This Row],[kvm]]</f>
        <v>1010.561797752809</v>
      </c>
      <c r="N52" s="6">
        <f>Tabel4[[#This Row],[Ny pris]]-Tabel4[[#This Row],[Råleje]]</f>
        <v>0</v>
      </c>
      <c r="O52" s="6"/>
    </row>
    <row r="53" spans="1:15">
      <c r="A53" s="20" t="s">
        <v>101</v>
      </c>
      <c r="B53" t="s">
        <v>22</v>
      </c>
      <c r="C53" s="8" t="s">
        <v>31</v>
      </c>
      <c r="D53" s="2" t="s">
        <v>34</v>
      </c>
      <c r="E53">
        <v>3</v>
      </c>
      <c r="F53">
        <v>7595</v>
      </c>
      <c r="G53">
        <v>800</v>
      </c>
      <c r="H53" s="3">
        <f>Tabel4[[#This Row],[Aconto]]+Tabel4[[#This Row],[Råleje]]</f>
        <v>8395</v>
      </c>
      <c r="I53">
        <v>88</v>
      </c>
      <c r="J53" s="4">
        <f>(Tabel4[[#This Row],[Råleje]]*12)/Tabel4[[#This Row],[kvm]]</f>
        <v>1035.6818181818182</v>
      </c>
      <c r="K53" s="5">
        <v>45839</v>
      </c>
      <c r="L53">
        <v>7595</v>
      </c>
      <c r="M53" s="6">
        <f>(Tabel4[[#This Row],[Ny pris]]*12)/Tabel4[[#This Row],[kvm]]</f>
        <v>1035.6818181818182</v>
      </c>
      <c r="N53" s="6">
        <f>Tabel4[[#This Row],[Ny pris]]-Tabel4[[#This Row],[Råleje]]</f>
        <v>0</v>
      </c>
      <c r="O53" s="6"/>
    </row>
    <row r="54" spans="1:15">
      <c r="A54" s="20" t="s">
        <v>102</v>
      </c>
      <c r="B54" t="s">
        <v>103</v>
      </c>
      <c r="C54" s="8" t="s">
        <v>71</v>
      </c>
      <c r="D54" s="2" t="s">
        <v>71</v>
      </c>
      <c r="E54">
        <v>4</v>
      </c>
      <c r="F54">
        <v>7695</v>
      </c>
      <c r="G54">
        <v>1050</v>
      </c>
      <c r="H54" s="3">
        <f>Tabel4[[#This Row],[Aconto]]+Tabel4[[#This Row],[Råleje]]</f>
        <v>8745</v>
      </c>
      <c r="I54">
        <v>115</v>
      </c>
      <c r="J54" s="4">
        <f>(Tabel4[[#This Row],[Råleje]]*12)/Tabel4[[#This Row],[kvm]]</f>
        <v>802.95652173913038</v>
      </c>
      <c r="K54" s="5">
        <v>45474</v>
      </c>
      <c r="L54">
        <v>6750</v>
      </c>
      <c r="M54" s="6">
        <f>(Tabel4[[#This Row],[Ny pris]]*12)/Tabel4[[#This Row],[kvm]]</f>
        <v>704.3478260869565</v>
      </c>
      <c r="N54" s="6">
        <f>Tabel4[[#This Row],[Ny pris]]-Tabel4[[#This Row],[Råleje]]</f>
        <v>-945</v>
      </c>
      <c r="O54" s="6"/>
    </row>
    <row r="55" spans="1:15">
      <c r="A55" s="1" t="s">
        <v>104</v>
      </c>
      <c r="B55" t="s">
        <v>105</v>
      </c>
      <c r="D55" s="2" t="s">
        <v>34</v>
      </c>
      <c r="E55">
        <v>3</v>
      </c>
      <c r="F55">
        <v>7795</v>
      </c>
      <c r="G55">
        <v>700</v>
      </c>
      <c r="H55" s="3">
        <f>Tabel4[[#This Row],[Aconto]]+Tabel4[[#This Row],[Råleje]]</f>
        <v>8495</v>
      </c>
      <c r="I55">
        <v>98</v>
      </c>
      <c r="J55" s="4">
        <f>(Tabel4[[#This Row],[Råleje]]*12)/Tabel4[[#This Row],[kvm]]</f>
        <v>954.48979591836735</v>
      </c>
      <c r="K55" s="5">
        <v>45809</v>
      </c>
      <c r="L55">
        <v>6995</v>
      </c>
      <c r="M55" s="6">
        <f>(Tabel4[[#This Row],[Ny pris]]*12)/Tabel4[[#This Row],[kvm]]</f>
        <v>856.53061224489795</v>
      </c>
      <c r="N55" s="6">
        <f>Tabel4[[#This Row],[Ny pris]]-Tabel4[[#This Row],[Råleje]]</f>
        <v>-800</v>
      </c>
      <c r="O55" s="6"/>
    </row>
    <row r="56" spans="1:15">
      <c r="A56" s="20" t="s">
        <v>106</v>
      </c>
      <c r="B56" t="s">
        <v>82</v>
      </c>
      <c r="C56" s="8" t="s">
        <v>31</v>
      </c>
      <c r="D56" s="2" t="s">
        <v>34</v>
      </c>
      <c r="E56">
        <v>3</v>
      </c>
      <c r="F56">
        <v>7795</v>
      </c>
      <c r="G56">
        <v>500</v>
      </c>
      <c r="H56" s="3">
        <f>Tabel4[[#This Row],[Aconto]]+Tabel4[[#This Row],[Råleje]]</f>
        <v>8295</v>
      </c>
      <c r="I56">
        <v>96</v>
      </c>
      <c r="J56" s="4">
        <f>(Tabel4[[#This Row],[Råleje]]*12)/Tabel4[[#This Row],[kvm]]</f>
        <v>974.375</v>
      </c>
      <c r="K56" s="5">
        <v>45931</v>
      </c>
      <c r="L56">
        <v>7495</v>
      </c>
      <c r="M56" s="6">
        <f>(Tabel4[[#This Row],[Ny pris]]*12)/Tabel4[[#This Row],[kvm]]</f>
        <v>936.875</v>
      </c>
      <c r="N56" s="6">
        <f>Tabel4[[#This Row],[Ny pris]]-Tabel4[[#This Row],[Råleje]]</f>
        <v>-300</v>
      </c>
      <c r="O56" s="6"/>
    </row>
    <row r="57" spans="1:15">
      <c r="A57" s="20" t="s">
        <v>107</v>
      </c>
      <c r="B57" t="s">
        <v>22</v>
      </c>
      <c r="C57" s="8" t="s">
        <v>31</v>
      </c>
      <c r="D57" s="2" t="s">
        <v>34</v>
      </c>
      <c r="E57">
        <v>3</v>
      </c>
      <c r="F57">
        <v>7895</v>
      </c>
      <c r="G57">
        <v>1300</v>
      </c>
      <c r="H57" s="3">
        <f>Tabel4[[#This Row],[Aconto]]+Tabel4[[#This Row],[Råleje]]</f>
        <v>9195</v>
      </c>
      <c r="I57">
        <v>93</v>
      </c>
      <c r="J57" s="4">
        <f>(Tabel4[[#This Row],[Råleje]]*12)/Tabel4[[#This Row],[kvm]]</f>
        <v>1018.7096774193549</v>
      </c>
      <c r="K57" s="5">
        <v>45627</v>
      </c>
      <c r="L57">
        <v>7895</v>
      </c>
      <c r="M57" s="6">
        <f>(Tabel4[[#This Row],[Ny pris]]*12)/Tabel4[[#This Row],[kvm]]</f>
        <v>1018.7096774193549</v>
      </c>
      <c r="N57" s="6">
        <f>Tabel4[[#This Row],[Ny pris]]-Tabel4[[#This Row],[Råleje]]</f>
        <v>0</v>
      </c>
      <c r="O57" s="6"/>
    </row>
    <row r="58" spans="1:15">
      <c r="A58" s="20" t="s">
        <v>108</v>
      </c>
      <c r="B58" t="s">
        <v>22</v>
      </c>
      <c r="D58" s="2" t="s">
        <v>34</v>
      </c>
      <c r="E58">
        <v>3</v>
      </c>
      <c r="F58">
        <v>7900</v>
      </c>
      <c r="G58">
        <v>900</v>
      </c>
      <c r="H58" s="3">
        <f>Tabel4[[#This Row],[Aconto]]+Tabel4[[#This Row],[Råleje]]</f>
        <v>8800</v>
      </c>
      <c r="I58">
        <v>96</v>
      </c>
      <c r="J58" s="4">
        <f>(Tabel4[[#This Row],[Råleje]]*12)/Tabel4[[#This Row],[kvm]]</f>
        <v>987.5</v>
      </c>
      <c r="K58" s="5">
        <v>44774</v>
      </c>
      <c r="L58">
        <v>7900</v>
      </c>
      <c r="M58" s="6">
        <f>(Tabel4[[#This Row],[Ny pris]]*12)/Tabel4[[#This Row],[kvm]]</f>
        <v>987.5</v>
      </c>
      <c r="N58" s="6">
        <f>Tabel4[[#This Row],[Ny pris]]-Tabel4[[#This Row],[Råleje]]</f>
        <v>0</v>
      </c>
      <c r="O58" s="6"/>
    </row>
    <row r="59" spans="1:15">
      <c r="A59" s="20" t="s">
        <v>109</v>
      </c>
      <c r="B59" t="s">
        <v>29</v>
      </c>
      <c r="D59" s="2" t="s">
        <v>34</v>
      </c>
      <c r="E59">
        <v>4</v>
      </c>
      <c r="F59">
        <v>7995</v>
      </c>
      <c r="G59">
        <v>900</v>
      </c>
      <c r="H59" s="3">
        <f>Tabel4[[#This Row],[Aconto]]+Tabel4[[#This Row],[Råleje]]</f>
        <v>8895</v>
      </c>
      <c r="I59">
        <v>100</v>
      </c>
      <c r="J59" s="4">
        <f>(Tabel4[[#This Row],[Råleje]]*12)/Tabel4[[#This Row],[kvm]]</f>
        <v>959.4</v>
      </c>
      <c r="K59" s="5">
        <v>45809</v>
      </c>
      <c r="L59">
        <v>6500</v>
      </c>
      <c r="M59" s="6">
        <f>(Tabel4[[#This Row],[Ny pris]]*12)/Tabel4[[#This Row],[kvm]]</f>
        <v>780</v>
      </c>
      <c r="N59" s="6">
        <f>Tabel4[[#This Row],[Ny pris]]-Tabel4[[#This Row],[Råleje]]</f>
        <v>-1495</v>
      </c>
      <c r="O59" s="6"/>
    </row>
    <row r="60" spans="1:15">
      <c r="A60" s="21" t="s">
        <v>110</v>
      </c>
      <c r="B60" t="s">
        <v>111</v>
      </c>
      <c r="C60" s="8" t="s">
        <v>31</v>
      </c>
      <c r="D60" s="2" t="s">
        <v>34</v>
      </c>
      <c r="E60" s="3">
        <v>4</v>
      </c>
      <c r="F60" s="3">
        <v>7995</v>
      </c>
      <c r="G60" s="3">
        <v>1000</v>
      </c>
      <c r="H60" s="3">
        <f>Tabel4[[#This Row],[Aconto]]+Tabel4[[#This Row],[Råleje]]</f>
        <v>8995</v>
      </c>
      <c r="I60" s="3">
        <v>95</v>
      </c>
      <c r="J60" s="4">
        <f>(Tabel4[[#This Row],[Råleje]]*12)/Tabel4[[#This Row],[kvm]]</f>
        <v>1009.8947368421053</v>
      </c>
      <c r="K60" s="5">
        <v>45962</v>
      </c>
      <c r="L60">
        <v>6995</v>
      </c>
      <c r="M60" s="6">
        <f>(Tabel4[[#This Row],[Ny pris]]*12)/Tabel4[[#This Row],[kvm]]</f>
        <v>883.57894736842104</v>
      </c>
      <c r="N60" s="6">
        <f>Tabel4[[#This Row],[Ny pris]]-Tabel4[[#This Row],[Råleje]]</f>
        <v>-1000</v>
      </c>
      <c r="O60" s="6"/>
    </row>
    <row r="61" spans="1:15">
      <c r="A61" s="20" t="s">
        <v>112</v>
      </c>
      <c r="B61" t="s">
        <v>113</v>
      </c>
      <c r="C61" s="8" t="s">
        <v>31</v>
      </c>
      <c r="D61" s="2" t="s">
        <v>34</v>
      </c>
      <c r="E61">
        <v>4</v>
      </c>
      <c r="F61">
        <v>7995</v>
      </c>
      <c r="G61">
        <v>750</v>
      </c>
      <c r="H61" s="3">
        <f>Tabel4[[#This Row],[Aconto]]+Tabel4[[#This Row],[Råleje]]</f>
        <v>8745</v>
      </c>
      <c r="I61">
        <v>103</v>
      </c>
      <c r="J61" s="4">
        <f>(Tabel4[[#This Row],[Råleje]]*12)/Tabel4[[#This Row],[kvm]]</f>
        <v>931.45631067961165</v>
      </c>
      <c r="K61" s="5">
        <v>45839</v>
      </c>
      <c r="L61">
        <v>7450</v>
      </c>
      <c r="M61" s="6">
        <f>(Tabel4[[#This Row],[Ny pris]]*12)/Tabel4[[#This Row],[kvm]]</f>
        <v>867.96116504854365</v>
      </c>
      <c r="N61" s="6">
        <f>Tabel4[[#This Row],[Ny pris]]-Tabel4[[#This Row],[Råleje]]</f>
        <v>-545</v>
      </c>
      <c r="O61" s="6" t="s">
        <v>39</v>
      </c>
    </row>
    <row r="62" spans="1:15">
      <c r="A62" s="20" t="s">
        <v>114</v>
      </c>
      <c r="B62" t="s">
        <v>22</v>
      </c>
      <c r="C62" s="8" t="s">
        <v>115</v>
      </c>
      <c r="D62" s="2" t="s">
        <v>34</v>
      </c>
      <c r="E62">
        <v>3</v>
      </c>
      <c r="F62">
        <v>7995</v>
      </c>
      <c r="G62">
        <v>1300</v>
      </c>
      <c r="H62" s="3">
        <f>Tabel4[[#This Row],[Aconto]]+Tabel4[[#This Row],[Råleje]]</f>
        <v>9295</v>
      </c>
      <c r="I62">
        <v>100</v>
      </c>
      <c r="J62" s="4">
        <f>(Tabel4[[#This Row],[Råleje]]*12)/Tabel4[[#This Row],[kvm]]</f>
        <v>959.4</v>
      </c>
      <c r="K62" s="5">
        <v>45383</v>
      </c>
      <c r="L62">
        <v>7995</v>
      </c>
      <c r="M62" s="6">
        <f>(Tabel4[[#This Row],[Ny pris]]*12)/Tabel4[[#This Row],[kvm]]</f>
        <v>959.4</v>
      </c>
      <c r="N62" s="6">
        <f>Tabel4[[#This Row],[Ny pris]]-Tabel4[[#This Row],[Råleje]]</f>
        <v>0</v>
      </c>
      <c r="O62" s="6"/>
    </row>
    <row r="63" spans="1:15">
      <c r="A63" s="20" t="s">
        <v>116</v>
      </c>
      <c r="B63" t="s">
        <v>22</v>
      </c>
      <c r="D63" s="2" t="s">
        <v>34</v>
      </c>
      <c r="E63">
        <v>3</v>
      </c>
      <c r="F63">
        <v>8150</v>
      </c>
      <c r="G63">
        <v>900</v>
      </c>
      <c r="H63" s="3">
        <f>Tabel4[[#This Row],[Aconto]]+Tabel4[[#This Row],[Råleje]]</f>
        <v>9050</v>
      </c>
      <c r="I63">
        <v>95</v>
      </c>
      <c r="J63" s="4">
        <f>(Tabel4[[#This Row],[Råleje]]*12)/Tabel4[[#This Row],[kvm]]</f>
        <v>1029.4736842105262</v>
      </c>
      <c r="K63" s="5">
        <v>45809</v>
      </c>
      <c r="L63">
        <v>8150</v>
      </c>
      <c r="M63" s="6">
        <f>(Tabel4[[#This Row],[Ny pris]]*12)/Tabel4[[#This Row],[kvm]]</f>
        <v>1029.4736842105262</v>
      </c>
      <c r="N63" s="6">
        <f>Tabel4[[#This Row],[Ny pris]]-Tabel4[[#This Row],[Råleje]]</f>
        <v>0</v>
      </c>
      <c r="O63" s="6"/>
    </row>
    <row r="64" spans="1:15">
      <c r="A64" s="20" t="s">
        <v>117</v>
      </c>
      <c r="B64" t="s">
        <v>118</v>
      </c>
      <c r="C64" s="8" t="s">
        <v>31</v>
      </c>
      <c r="D64" s="2" t="s">
        <v>34</v>
      </c>
      <c r="F64">
        <v>8195</v>
      </c>
      <c r="G64">
        <v>1200</v>
      </c>
      <c r="H64" s="3">
        <f>Tabel4[[#This Row],[Aconto]]+Tabel4[[#This Row],[Råleje]]</f>
        <v>9395</v>
      </c>
      <c r="I64">
        <v>96</v>
      </c>
      <c r="J64" s="4">
        <f>(Tabel4[[#This Row],[Råleje]]*12)/Tabel4[[#This Row],[kvm]]</f>
        <v>1024.375</v>
      </c>
      <c r="K64" s="5">
        <v>45870</v>
      </c>
      <c r="L64">
        <v>7795</v>
      </c>
      <c r="M64" s="6">
        <f>(Tabel4[[#This Row],[Ny pris]]*12)/Tabel4[[#This Row],[kvm]]</f>
        <v>974.375</v>
      </c>
      <c r="N64" s="6">
        <f>Tabel4[[#This Row],[Ny pris]]-Tabel4[[#This Row],[Råleje]]</f>
        <v>-400</v>
      </c>
      <c r="O64" s="6" t="s">
        <v>39</v>
      </c>
    </row>
    <row r="65" spans="1:15">
      <c r="A65" s="20" t="s">
        <v>119</v>
      </c>
      <c r="B65" t="s">
        <v>22</v>
      </c>
      <c r="C65" s="8" t="s">
        <v>31</v>
      </c>
      <c r="D65" s="2" t="s">
        <v>34</v>
      </c>
      <c r="E65">
        <v>3</v>
      </c>
      <c r="F65">
        <v>8295</v>
      </c>
      <c r="G65">
        <v>900</v>
      </c>
      <c r="H65" s="3">
        <f>Tabel4[[#This Row],[Aconto]]+Tabel4[[#This Row],[Råleje]]</f>
        <v>9195</v>
      </c>
      <c r="I65">
        <v>100</v>
      </c>
      <c r="J65" s="4">
        <f>(Tabel4[[#This Row],[Råleje]]*12)/Tabel4[[#This Row],[kvm]]</f>
        <v>995.4</v>
      </c>
      <c r="K65" s="5">
        <v>43174</v>
      </c>
      <c r="L65">
        <v>8295</v>
      </c>
      <c r="M65" s="6">
        <f>(Tabel4[[#This Row],[Ny pris]]*12)/Tabel4[[#This Row],[kvm]]</f>
        <v>995.4</v>
      </c>
      <c r="N65" s="6">
        <f>Tabel4[[#This Row],[Ny pris]]-Tabel4[[#This Row],[Råleje]]</f>
        <v>0</v>
      </c>
      <c r="O65" s="6"/>
    </row>
    <row r="66" spans="1:15">
      <c r="A66" s="20" t="s">
        <v>120</v>
      </c>
      <c r="B66" t="s">
        <v>22</v>
      </c>
      <c r="D66" s="2" t="s">
        <v>34</v>
      </c>
      <c r="E66">
        <v>3</v>
      </c>
      <c r="F66">
        <v>8495</v>
      </c>
      <c r="G66">
        <v>1300</v>
      </c>
      <c r="H66" s="3">
        <f>Tabel4[[#This Row],[Aconto]]+Tabel4[[#This Row],[Råleje]]</f>
        <v>9795</v>
      </c>
      <c r="I66">
        <v>93</v>
      </c>
      <c r="J66" s="4">
        <f>(Tabel4[[#This Row],[Råleje]]*12)/Tabel4[[#This Row],[kvm]]</f>
        <v>1096.1290322580646</v>
      </c>
      <c r="K66" s="5">
        <v>45474</v>
      </c>
      <c r="L66">
        <v>8495</v>
      </c>
      <c r="M66" s="6">
        <f>(Tabel4[[#This Row],[Ny pris]]*12)/Tabel4[[#This Row],[kvm]]</f>
        <v>1096.1290322580646</v>
      </c>
      <c r="N66" s="6">
        <f>Tabel4[[#This Row],[Ny pris]]-Tabel4[[#This Row],[Råleje]]</f>
        <v>0</v>
      </c>
      <c r="O66" s="6"/>
    </row>
    <row r="67" spans="1:15">
      <c r="A67" s="21" t="s">
        <v>121</v>
      </c>
      <c r="B67" t="s">
        <v>122</v>
      </c>
      <c r="C67" s="7">
        <v>45992</v>
      </c>
      <c r="D67" s="2" t="s">
        <v>23</v>
      </c>
      <c r="E67">
        <v>2</v>
      </c>
      <c r="F67">
        <v>8595</v>
      </c>
      <c r="G67">
        <v>1200</v>
      </c>
      <c r="H67" s="3">
        <f>Tabel4[[#This Row],[Aconto]]+Tabel4[[#This Row],[Råleje]]</f>
        <v>9795</v>
      </c>
      <c r="I67">
        <v>102</v>
      </c>
      <c r="J67" s="4">
        <f>(Tabel4[[#This Row],[Råleje]]*12)/Tabel4[[#This Row],[kvm]]</f>
        <v>1011.1764705882352</v>
      </c>
      <c r="K67" s="5">
        <v>45992</v>
      </c>
      <c r="L67">
        <v>7995</v>
      </c>
      <c r="M67" s="6">
        <f>(Tabel4[[#This Row],[Ny pris]]*12)/Tabel4[[#This Row],[kvm]]</f>
        <v>940.58823529411768</v>
      </c>
      <c r="N67" s="6">
        <f>Tabel4[[#This Row],[Ny pris]]-Tabel4[[#This Row],[Råleje]]</f>
        <v>-600</v>
      </c>
      <c r="O67" s="6"/>
    </row>
    <row r="68" spans="1:15">
      <c r="A68" s="21" t="s">
        <v>123</v>
      </c>
      <c r="B68" t="s">
        <v>80</v>
      </c>
      <c r="C68" s="8" t="s">
        <v>31</v>
      </c>
      <c r="D68" s="2" t="s">
        <v>34</v>
      </c>
      <c r="E68">
        <v>4</v>
      </c>
      <c r="F68">
        <v>8595</v>
      </c>
      <c r="G68">
        <v>1050</v>
      </c>
      <c r="H68" s="3">
        <f>Tabel4[[#This Row],[Aconto]]+Tabel4[[#This Row],[Råleje]]</f>
        <v>9645</v>
      </c>
      <c r="I68">
        <v>105</v>
      </c>
      <c r="J68" s="4">
        <f>(Tabel4[[#This Row],[Råleje]]*12)/Tabel4[[#This Row],[kvm]]</f>
        <v>982.28571428571433</v>
      </c>
      <c r="K68" s="5">
        <v>45992</v>
      </c>
      <c r="L68">
        <v>7000</v>
      </c>
      <c r="M68" s="6">
        <f>(Tabel4[[#This Row],[Ny pris]]*12)/Tabel4[[#This Row],[kvm]]</f>
        <v>800</v>
      </c>
      <c r="N68" s="6">
        <f>Tabel4[[#This Row],[Ny pris]]-Tabel4[[#This Row],[Råleje]]</f>
        <v>-1595</v>
      </c>
      <c r="O68" s="6"/>
    </row>
    <row r="69" spans="1:15">
      <c r="A69" s="20" t="s">
        <v>124</v>
      </c>
      <c r="B69" t="s">
        <v>22</v>
      </c>
      <c r="C69" s="8" t="s">
        <v>31</v>
      </c>
      <c r="D69" s="2" t="s">
        <v>34</v>
      </c>
      <c r="E69">
        <v>3</v>
      </c>
      <c r="F69">
        <v>8695</v>
      </c>
      <c r="G69">
        <v>1300</v>
      </c>
      <c r="H69" s="3">
        <f>Tabel4[[#This Row],[Aconto]]+Tabel4[[#This Row],[Råleje]]</f>
        <v>9995</v>
      </c>
      <c r="I69">
        <v>110</v>
      </c>
      <c r="J69" s="4">
        <f>(Tabel4[[#This Row],[Råleje]]*12)/Tabel4[[#This Row],[kvm]]</f>
        <v>948.5454545454545</v>
      </c>
      <c r="K69" s="5">
        <v>44013</v>
      </c>
      <c r="L69">
        <v>8695</v>
      </c>
      <c r="M69" s="6">
        <f>(Tabel4[[#This Row],[Ny pris]]*12)/Tabel4[[#This Row],[kvm]]</f>
        <v>948.5454545454545</v>
      </c>
      <c r="N69" s="6">
        <f>Tabel4[[#This Row],[Ny pris]]-Tabel4[[#This Row],[Råleje]]</f>
        <v>0</v>
      </c>
      <c r="O69" s="6"/>
    </row>
    <row r="70" spans="1:15">
      <c r="A70" s="21" t="s">
        <v>125</v>
      </c>
      <c r="B70" t="s">
        <v>122</v>
      </c>
      <c r="C70" s="7">
        <v>45992</v>
      </c>
      <c r="D70" s="2" t="s">
        <v>23</v>
      </c>
      <c r="E70" s="3">
        <v>2</v>
      </c>
      <c r="F70" s="3">
        <v>8995</v>
      </c>
      <c r="G70" s="3">
        <v>900</v>
      </c>
      <c r="H70" s="3">
        <f>Tabel4[[#This Row],[Aconto]]+Tabel4[[#This Row],[Råleje]]</f>
        <v>9895</v>
      </c>
      <c r="I70" s="3">
        <v>104</v>
      </c>
      <c r="J70" s="4">
        <f>(Tabel4[[#This Row],[Råleje]]*12)/Tabel4[[#This Row],[kvm]]</f>
        <v>1037.8846153846155</v>
      </c>
      <c r="K70" s="5">
        <v>45992</v>
      </c>
      <c r="L70">
        <v>7995</v>
      </c>
      <c r="M70" s="6">
        <f>(Tabel4[[#This Row],[Ny pris]]*12)/Tabel4[[#This Row],[kvm]]</f>
        <v>922.5</v>
      </c>
      <c r="N70" s="6">
        <f>Tabel4[[#This Row],[Ny pris]]-Tabel4[[#This Row],[Råleje]]</f>
        <v>-1000</v>
      </c>
      <c r="O70" s="6"/>
    </row>
    <row r="71" spans="1:15">
      <c r="A71" s="20" t="s">
        <v>126</v>
      </c>
      <c r="B71" t="s">
        <v>22</v>
      </c>
      <c r="D71" s="2" t="s">
        <v>34</v>
      </c>
      <c r="E71">
        <v>3</v>
      </c>
      <c r="F71">
        <v>8995</v>
      </c>
      <c r="G71">
        <v>1500</v>
      </c>
      <c r="H71" s="3">
        <f>Tabel4[[#This Row],[Aconto]]+Tabel4[[#This Row],[Råleje]]</f>
        <v>10495</v>
      </c>
      <c r="I71">
        <v>100</v>
      </c>
      <c r="J71" s="4">
        <f>(Tabel4[[#This Row],[Råleje]]*12)/Tabel4[[#This Row],[kvm]]</f>
        <v>1079.4000000000001</v>
      </c>
      <c r="K71" s="5">
        <v>44013</v>
      </c>
      <c r="L71">
        <v>8995</v>
      </c>
      <c r="M71" s="6">
        <f>(Tabel4[[#This Row],[Ny pris]]*12)/Tabel4[[#This Row],[kvm]]</f>
        <v>1079.4000000000001</v>
      </c>
      <c r="N71" s="6">
        <f>Tabel4[[#This Row],[Ny pris]]-Tabel4[[#This Row],[Råleje]]</f>
        <v>0</v>
      </c>
      <c r="O71" s="6"/>
    </row>
    <row r="72" spans="1:15">
      <c r="A72" s="20" t="s">
        <v>127</v>
      </c>
      <c r="B72" t="s">
        <v>128</v>
      </c>
      <c r="C72" s="8" t="s">
        <v>31</v>
      </c>
      <c r="D72" s="2" t="s">
        <v>34</v>
      </c>
      <c r="E72">
        <v>4</v>
      </c>
      <c r="F72">
        <v>9295</v>
      </c>
      <c r="G72">
        <v>1000</v>
      </c>
      <c r="H72" s="3">
        <f>Tabel4[[#This Row],[Aconto]]+Tabel4[[#This Row],[Råleje]]</f>
        <v>10295</v>
      </c>
      <c r="I72">
        <v>123</v>
      </c>
      <c r="J72" s="4">
        <f>(Tabel4[[#This Row],[Råleje]]*12)/Tabel4[[#This Row],[kvm]]</f>
        <v>906.82926829268297</v>
      </c>
      <c r="K72" s="5">
        <v>45931</v>
      </c>
      <c r="L72">
        <v>8495</v>
      </c>
      <c r="M72" s="6">
        <f>(Tabel4[[#This Row],[Ny pris]]*12)/Tabel4[[#This Row],[kvm]]</f>
        <v>828.78048780487802</v>
      </c>
      <c r="N72" s="6">
        <f>Tabel4[[#This Row],[Ny pris]]-Tabel4[[#This Row],[Råleje]]</f>
        <v>-800</v>
      </c>
      <c r="O72" s="6"/>
    </row>
    <row r="73" spans="1:15">
      <c r="A73" s="20" t="s">
        <v>129</v>
      </c>
      <c r="B73" t="s">
        <v>22</v>
      </c>
      <c r="C73" s="8" t="s">
        <v>31</v>
      </c>
      <c r="D73" s="2" t="s">
        <v>34</v>
      </c>
      <c r="E73">
        <v>4</v>
      </c>
      <c r="F73">
        <v>9925</v>
      </c>
      <c r="G73">
        <v>1000</v>
      </c>
      <c r="H73" s="3">
        <f>Tabel4[[#This Row],[Aconto]]+Tabel4[[#This Row],[Råleje]]</f>
        <v>10925</v>
      </c>
      <c r="I73">
        <v>120</v>
      </c>
      <c r="J73" s="4">
        <f>(Tabel4[[#This Row],[Råleje]]*12)/Tabel4[[#This Row],[kvm]]</f>
        <v>992.5</v>
      </c>
      <c r="K73" s="5">
        <v>45627</v>
      </c>
      <c r="L73">
        <v>9925</v>
      </c>
      <c r="M73" s="6">
        <f>(Tabel4[[#This Row],[Ny pris]]*12)/Tabel4[[#This Row],[kvm]]</f>
        <v>992.5</v>
      </c>
      <c r="N73" s="6">
        <f>Tabel4[[#This Row],[Ny pris]]-Tabel4[[#This Row],[Råleje]]</f>
        <v>0</v>
      </c>
      <c r="O73" s="6"/>
    </row>
    <row r="74" spans="1:15">
      <c r="A74" s="21" t="s">
        <v>130</v>
      </c>
      <c r="B74" t="s">
        <v>29</v>
      </c>
      <c r="D74" s="2" t="s">
        <v>34</v>
      </c>
      <c r="H74" s="3">
        <f>Tabel4[[#This Row],[Aconto]]+Tabel4[[#This Row],[Råleje]]</f>
        <v>0</v>
      </c>
      <c r="J74" s="4" t="e">
        <f>(Tabel4[[#This Row],[Råleje]]*12)/Tabel4[[#This Row],[kvm]]</f>
        <v>#DIV/0!</v>
      </c>
      <c r="K74" s="5">
        <v>45962</v>
      </c>
      <c r="M74" s="6" t="e">
        <f>(Tabel4[[#This Row],[Ny pris]]*12)/Tabel4[[#This Row],[kvm]]</f>
        <v>#DIV/0!</v>
      </c>
      <c r="N74" s="6">
        <f>Tabel4[[#This Row],[Ny pris]]-Tabel4[[#This Row],[Råleje]]</f>
        <v>0</v>
      </c>
      <c r="O74" s="6" t="s">
        <v>39</v>
      </c>
    </row>
    <row r="75" spans="1:15">
      <c r="A75" s="20" t="s">
        <v>131</v>
      </c>
      <c r="B75" t="s">
        <v>132</v>
      </c>
      <c r="D75" s="2" t="s">
        <v>34</v>
      </c>
      <c r="H75" s="3">
        <f>Tabel4[[#This Row],[Aconto]]+Tabel4[[#This Row],[Råleje]]</f>
        <v>0</v>
      </c>
      <c r="J75" s="4" t="e">
        <f>(Tabel4[[#This Row],[Råleje]]*12)/Tabel4[[#This Row],[kvm]]</f>
        <v>#DIV/0!</v>
      </c>
      <c r="K75" s="5">
        <v>45901</v>
      </c>
      <c r="M75" s="6" t="e">
        <f>(Tabel4[[#This Row],[Ny pris]]*12)/Tabel4[[#This Row],[kvm]]</f>
        <v>#DIV/0!</v>
      </c>
      <c r="N75" s="6">
        <f>Tabel4[[#This Row],[Ny pris]]-Tabel4[[#This Row],[Råleje]]</f>
        <v>0</v>
      </c>
      <c r="O75" s="6" t="s">
        <v>39</v>
      </c>
    </row>
    <row r="76" spans="1:15">
      <c r="A76" s="20" t="s">
        <v>133</v>
      </c>
      <c r="B76" t="s">
        <v>113</v>
      </c>
      <c r="D76" s="2" t="s">
        <v>34</v>
      </c>
      <c r="H76" s="3">
        <f>Tabel4[[#This Row],[Aconto]]+Tabel4[[#This Row],[Råleje]]</f>
        <v>0</v>
      </c>
      <c r="J76" s="4" t="e">
        <f>(Tabel4[[#This Row],[Råleje]]*12)/Tabel4[[#This Row],[kvm]]</f>
        <v>#DIV/0!</v>
      </c>
      <c r="K76" s="5">
        <v>45870</v>
      </c>
      <c r="M76" s="6" t="e">
        <f>(Tabel4[[#This Row],[Ny pris]]*12)/Tabel4[[#This Row],[kvm]]</f>
        <v>#DIV/0!</v>
      </c>
      <c r="N76" s="6">
        <f>Tabel4[[#This Row],[Ny pris]]-Tabel4[[#This Row],[Råleje]]</f>
        <v>0</v>
      </c>
      <c r="O76" s="6" t="s">
        <v>39</v>
      </c>
    </row>
    <row r="77" spans="1:15">
      <c r="A77" s="20" t="s">
        <v>134</v>
      </c>
      <c r="B77" t="s">
        <v>60</v>
      </c>
      <c r="D77" s="2" t="s">
        <v>34</v>
      </c>
      <c r="H77" s="3">
        <f>Tabel4[[#This Row],[Aconto]]+Tabel4[[#This Row],[Råleje]]</f>
        <v>0</v>
      </c>
      <c r="J77" s="4" t="e">
        <f>(Tabel4[[#This Row],[Råleje]]*12)/Tabel4[[#This Row],[kvm]]</f>
        <v>#DIV/0!</v>
      </c>
      <c r="K77" s="5">
        <v>45809</v>
      </c>
      <c r="M77" s="6" t="e">
        <f>(Tabel4[[#This Row],[Ny pris]]*12)/Tabel4[[#This Row],[kvm]]</f>
        <v>#DIV/0!</v>
      </c>
      <c r="N77" s="6">
        <f>Tabel4[[#This Row],[Ny pris]]-Tabel4[[#This Row],[Råleje]]</f>
        <v>0</v>
      </c>
      <c r="O77" s="6" t="s">
        <v>39</v>
      </c>
    </row>
    <row r="78" spans="1:15">
      <c r="A78" s="20" t="s">
        <v>135</v>
      </c>
      <c r="B78" t="s">
        <v>22</v>
      </c>
      <c r="D78" s="2" t="s">
        <v>34</v>
      </c>
      <c r="H78" s="3">
        <f>Tabel4[[#This Row],[Aconto]]+Tabel4[[#This Row],[Råleje]]</f>
        <v>0</v>
      </c>
      <c r="J78" s="4" t="e">
        <f>(Tabel4[[#This Row],[Råleje]]*12)/Tabel4[[#This Row],[kvm]]</f>
        <v>#DIV/0!</v>
      </c>
      <c r="K78" s="5">
        <v>45778</v>
      </c>
      <c r="M78" s="6" t="e">
        <f>(Tabel4[[#This Row],[Ny pris]]*12)/Tabel4[[#This Row],[kvm]]</f>
        <v>#DIV/0!</v>
      </c>
      <c r="N78" s="6">
        <f>Tabel4[[#This Row],[Ny pris]]-Tabel4[[#This Row],[Råleje]]</f>
        <v>0</v>
      </c>
      <c r="O78" s="6" t="s">
        <v>39</v>
      </c>
    </row>
    <row r="79" spans="1:15">
      <c r="A79" s="20" t="s">
        <v>136</v>
      </c>
      <c r="B79" t="s">
        <v>27</v>
      </c>
      <c r="D79" s="2" t="s">
        <v>34</v>
      </c>
      <c r="H79" s="3">
        <f>Tabel4[[#This Row],[Aconto]]+Tabel4[[#This Row],[Råleje]]</f>
        <v>0</v>
      </c>
      <c r="J79" s="4" t="e">
        <f>(Tabel4[[#This Row],[Råleje]]*12)/Tabel4[[#This Row],[kvm]]</f>
        <v>#DIV/0!</v>
      </c>
      <c r="K79" s="5">
        <v>45778</v>
      </c>
      <c r="M79" s="6" t="e">
        <f>(Tabel4[[#This Row],[Ny pris]]*12)/Tabel4[[#This Row],[kvm]]</f>
        <v>#DIV/0!</v>
      </c>
      <c r="N79" s="6">
        <f>Tabel4[[#This Row],[Ny pris]]-Tabel4[[#This Row],[Råleje]]</f>
        <v>0</v>
      </c>
      <c r="O79" s="6" t="s">
        <v>39</v>
      </c>
    </row>
    <row r="80" spans="1:15">
      <c r="A80" s="20" t="s">
        <v>137</v>
      </c>
      <c r="B80" t="s">
        <v>85</v>
      </c>
      <c r="D80" s="2" t="s">
        <v>34</v>
      </c>
      <c r="H80" s="3">
        <f>Tabel4[[#This Row],[Aconto]]+Tabel4[[#This Row],[Råleje]]</f>
        <v>0</v>
      </c>
      <c r="J80" s="4" t="e">
        <f>(Tabel4[[#This Row],[Råleje]]*12)/Tabel4[[#This Row],[kvm]]</f>
        <v>#DIV/0!</v>
      </c>
      <c r="K80" s="5">
        <v>45717</v>
      </c>
      <c r="M80" s="6" t="e">
        <f>(Tabel4[[#This Row],[Ny pris]]*12)/Tabel4[[#This Row],[kvm]]</f>
        <v>#DIV/0!</v>
      </c>
      <c r="N80" s="6">
        <f>Tabel4[[#This Row],[Ny pris]]-Tabel4[[#This Row],[Råleje]]</f>
        <v>0</v>
      </c>
      <c r="O80" s="6" t="s">
        <v>39</v>
      </c>
    </row>
    <row r="81" spans="1:15">
      <c r="A81" s="1" t="s">
        <v>138</v>
      </c>
      <c r="B81" t="s">
        <v>36</v>
      </c>
      <c r="D81" s="2" t="s">
        <v>34</v>
      </c>
      <c r="H81" s="3">
        <f>Tabel4[[#This Row],[Aconto]]+Tabel4[[#This Row],[Råleje]]</f>
        <v>0</v>
      </c>
      <c r="J81" s="4" t="e">
        <f>(Tabel4[[#This Row],[Råleje]]*12)/Tabel4[[#This Row],[kvm]]</f>
        <v>#DIV/0!</v>
      </c>
      <c r="K81" s="5">
        <v>45597</v>
      </c>
      <c r="M81" s="6" t="e">
        <f>(Tabel4[[#This Row],[Ny pris]]*12)/Tabel4[[#This Row],[kvm]]</f>
        <v>#DIV/0!</v>
      </c>
      <c r="N81" s="6">
        <f>Tabel4[[#This Row],[Ny pris]]-Tabel4[[#This Row],[Råleje]]</f>
        <v>0</v>
      </c>
      <c r="O81" s="6" t="s">
        <v>39</v>
      </c>
    </row>
    <row r="82" spans="1:15">
      <c r="A82" s="20" t="s">
        <v>139</v>
      </c>
      <c r="B82" t="s">
        <v>105</v>
      </c>
      <c r="D82" s="2" t="s">
        <v>34</v>
      </c>
      <c r="H82" s="3">
        <f>Tabel4[[#This Row],[Aconto]]+Tabel4[[#This Row],[Råleje]]</f>
        <v>0</v>
      </c>
      <c r="J82" s="4" t="e">
        <f>(Tabel4[[#This Row],[Råleje]]*12)/Tabel4[[#This Row],[kvm]]</f>
        <v>#DIV/0!</v>
      </c>
      <c r="K82" s="5">
        <v>45505</v>
      </c>
      <c r="M82" s="6" t="e">
        <f>(Tabel4[[#This Row],[Ny pris]]*12)/Tabel4[[#This Row],[kvm]]</f>
        <v>#DIV/0!</v>
      </c>
      <c r="N82" s="6">
        <f>Tabel4[[#This Row],[Ny pris]]-Tabel4[[#This Row],[Råleje]]</f>
        <v>0</v>
      </c>
      <c r="O82" s="6" t="s">
        <v>39</v>
      </c>
    </row>
    <row r="83" spans="1:15">
      <c r="A83" s="20" t="s">
        <v>140</v>
      </c>
      <c r="B83" t="s">
        <v>85</v>
      </c>
      <c r="D83" s="2" t="s">
        <v>34</v>
      </c>
      <c r="H83" s="3">
        <f>Tabel4[[#This Row],[Aconto]]+Tabel4[[#This Row],[Råleje]]</f>
        <v>0</v>
      </c>
      <c r="J83" s="4" t="e">
        <f>(Tabel4[[#This Row],[Råleje]]*12)/Tabel4[[#This Row],[kvm]]</f>
        <v>#DIV/0!</v>
      </c>
      <c r="K83" s="5">
        <v>45474</v>
      </c>
      <c r="M83" s="6" t="e">
        <f>(Tabel4[[#This Row],[Ny pris]]*12)/Tabel4[[#This Row],[kvm]]</f>
        <v>#DIV/0!</v>
      </c>
      <c r="N83" s="6">
        <f>Tabel4[[#This Row],[Ny pris]]-Tabel4[[#This Row],[Råleje]]</f>
        <v>0</v>
      </c>
      <c r="O83" s="6" t="s">
        <v>39</v>
      </c>
    </row>
    <row r="84" spans="1:15">
      <c r="A84" s="20" t="s">
        <v>141</v>
      </c>
      <c r="B84" t="s">
        <v>44</v>
      </c>
      <c r="D84" s="2" t="s">
        <v>34</v>
      </c>
      <c r="H84" s="3">
        <f>Tabel4[[#This Row],[Aconto]]+Tabel4[[#This Row],[Råleje]]</f>
        <v>0</v>
      </c>
      <c r="J84" s="4" t="e">
        <f>(Tabel4[[#This Row],[Råleje]]*12)/Tabel4[[#This Row],[kvm]]</f>
        <v>#DIV/0!</v>
      </c>
      <c r="K84" s="5">
        <v>45323</v>
      </c>
      <c r="M84" s="6" t="e">
        <f>(Tabel4[[#This Row],[Ny pris]]*12)/Tabel4[[#This Row],[kvm]]</f>
        <v>#DIV/0!</v>
      </c>
      <c r="N84" s="6">
        <f>Tabel4[[#This Row],[Ny pris]]-Tabel4[[#This Row],[Råleje]]</f>
        <v>0</v>
      </c>
      <c r="O84" s="6" t="s">
        <v>39</v>
      </c>
    </row>
    <row r="85" spans="1:15">
      <c r="A85" s="20" t="s">
        <v>142</v>
      </c>
      <c r="B85" t="s">
        <v>38</v>
      </c>
      <c r="D85" s="2" t="s">
        <v>34</v>
      </c>
      <c r="H85" s="3">
        <f>Tabel4[[#This Row],[Aconto]]+Tabel4[[#This Row],[Råleje]]</f>
        <v>0</v>
      </c>
      <c r="J85" s="4" t="e">
        <f>(Tabel4[[#This Row],[Råleje]]*12)/Tabel4[[#This Row],[kvm]]</f>
        <v>#DIV/0!</v>
      </c>
      <c r="K85" s="5">
        <v>45292</v>
      </c>
      <c r="M85" s="6" t="e">
        <f>(Tabel4[[#This Row],[Ny pris]]*12)/Tabel4[[#This Row],[kvm]]</f>
        <v>#DIV/0!</v>
      </c>
      <c r="N85" s="6">
        <f>Tabel4[[#This Row],[Ny pris]]-Tabel4[[#This Row],[Råleje]]</f>
        <v>0</v>
      </c>
      <c r="O85" s="6" t="s">
        <v>39</v>
      </c>
    </row>
    <row r="86" spans="1:15">
      <c r="A86" s="20" t="s">
        <v>143</v>
      </c>
      <c r="B86" t="s">
        <v>73</v>
      </c>
      <c r="D86" s="2" t="s">
        <v>34</v>
      </c>
      <c r="H86" s="3">
        <f>Tabel4[[#This Row],[Aconto]]+Tabel4[[#This Row],[Råleje]]</f>
        <v>0</v>
      </c>
      <c r="J86" s="4" t="e">
        <f>(Tabel4[[#This Row],[Råleje]]*12)/Tabel4[[#This Row],[kvm]]</f>
        <v>#DIV/0!</v>
      </c>
      <c r="K86" s="5">
        <v>45261</v>
      </c>
      <c r="M86" s="6" t="e">
        <f>(Tabel4[[#This Row],[Ny pris]]*12)/Tabel4[[#This Row],[kvm]]</f>
        <v>#DIV/0!</v>
      </c>
      <c r="N86" s="6">
        <f>Tabel4[[#This Row],[Ny pris]]-Tabel4[[#This Row],[Råleje]]</f>
        <v>0</v>
      </c>
      <c r="O86" s="6" t="s">
        <v>39</v>
      </c>
    </row>
    <row r="87" spans="1:15">
      <c r="A87" s="20" t="s">
        <v>144</v>
      </c>
      <c r="B87" t="s">
        <v>85</v>
      </c>
      <c r="D87" s="2" t="s">
        <v>34</v>
      </c>
      <c r="H87" s="3">
        <f>Tabel4[[#This Row],[Aconto]]+Tabel4[[#This Row],[Råleje]]</f>
        <v>0</v>
      </c>
      <c r="J87" s="4" t="e">
        <f>(Tabel4[[#This Row],[Råleje]]*12)/Tabel4[[#This Row],[kvm]]</f>
        <v>#DIV/0!</v>
      </c>
      <c r="K87" s="5">
        <v>45231</v>
      </c>
      <c r="M87" s="6" t="e">
        <f>(Tabel4[[#This Row],[Ny pris]]*12)/Tabel4[[#This Row],[kvm]]</f>
        <v>#DIV/0!</v>
      </c>
      <c r="N87" s="6">
        <f>Tabel4[[#This Row],[Ny pris]]-Tabel4[[#This Row],[Råleje]]</f>
        <v>0</v>
      </c>
      <c r="O87" s="6" t="s">
        <v>39</v>
      </c>
    </row>
    <row r="88" spans="1:15">
      <c r="A88" s="20" t="s">
        <v>145</v>
      </c>
      <c r="B88" t="s">
        <v>111</v>
      </c>
      <c r="D88" s="2" t="s">
        <v>34</v>
      </c>
      <c r="H88" s="3">
        <f>Tabel4[[#This Row],[Aconto]]+Tabel4[[#This Row],[Råleje]]</f>
        <v>0</v>
      </c>
      <c r="J88" s="4" t="e">
        <f>(Tabel4[[#This Row],[Råleje]]*12)/Tabel4[[#This Row],[kvm]]</f>
        <v>#DIV/0!</v>
      </c>
      <c r="K88" s="5">
        <v>45200</v>
      </c>
      <c r="M88" s="6" t="e">
        <f>(Tabel4[[#This Row],[Ny pris]]*12)/Tabel4[[#This Row],[kvm]]</f>
        <v>#DIV/0!</v>
      </c>
      <c r="N88" s="6">
        <f>Tabel4[[#This Row],[Ny pris]]-Tabel4[[#This Row],[Råleje]]</f>
        <v>0</v>
      </c>
      <c r="O88" s="6" t="s">
        <v>39</v>
      </c>
    </row>
    <row r="89" spans="1:15">
      <c r="A89" s="20" t="s">
        <v>146</v>
      </c>
      <c r="B89" t="s">
        <v>22</v>
      </c>
      <c r="D89" s="2" t="s">
        <v>34</v>
      </c>
      <c r="H89" s="3">
        <f>Tabel4[[#This Row],[Aconto]]+Tabel4[[#This Row],[Råleje]]</f>
        <v>0</v>
      </c>
      <c r="J89" s="4" t="e">
        <f>(Tabel4[[#This Row],[Råleje]]*12)/Tabel4[[#This Row],[kvm]]</f>
        <v>#DIV/0!</v>
      </c>
      <c r="K89" s="5">
        <v>45200</v>
      </c>
      <c r="M89" s="6" t="e">
        <f>(Tabel4[[#This Row],[Ny pris]]*12)/Tabel4[[#This Row],[kvm]]</f>
        <v>#DIV/0!</v>
      </c>
      <c r="N89" s="6">
        <f>Tabel4[[#This Row],[Ny pris]]-Tabel4[[#This Row],[Råleje]]</f>
        <v>0</v>
      </c>
      <c r="O89" s="6" t="s">
        <v>39</v>
      </c>
    </row>
    <row r="90" spans="1:15">
      <c r="A90" s="1" t="s">
        <v>147</v>
      </c>
      <c r="B90" t="s">
        <v>80</v>
      </c>
      <c r="D90" s="2" t="s">
        <v>34</v>
      </c>
      <c r="H90" s="3">
        <f>Tabel4[[#This Row],[Aconto]]+Tabel4[[#This Row],[Råleje]]</f>
        <v>0</v>
      </c>
      <c r="J90" s="4" t="e">
        <f>(Tabel4[[#This Row],[Råleje]]*12)/Tabel4[[#This Row],[kvm]]</f>
        <v>#DIV/0!</v>
      </c>
      <c r="K90" s="5">
        <v>45170</v>
      </c>
      <c r="M90" s="6" t="e">
        <f>(Tabel4[[#This Row],[Ny pris]]*12)/Tabel4[[#This Row],[kvm]]</f>
        <v>#DIV/0!</v>
      </c>
      <c r="N90" s="6">
        <f>Tabel4[[#This Row],[Ny pris]]-Tabel4[[#This Row],[Råleje]]</f>
        <v>0</v>
      </c>
      <c r="O90" s="6" t="s">
        <v>39</v>
      </c>
    </row>
    <row r="91" spans="1:15">
      <c r="A91" s="20" t="s">
        <v>148</v>
      </c>
      <c r="B91" t="s">
        <v>103</v>
      </c>
      <c r="D91" s="2" t="s">
        <v>18</v>
      </c>
      <c r="H91" s="3">
        <f>Tabel4[[#This Row],[Aconto]]+Tabel4[[#This Row],[Råleje]]</f>
        <v>0</v>
      </c>
      <c r="J91" s="4" t="e">
        <f>(Tabel4[[#This Row],[Råleje]]*12)/Tabel4[[#This Row],[kvm]]</f>
        <v>#DIV/0!</v>
      </c>
      <c r="K91" s="5">
        <v>45170</v>
      </c>
      <c r="M91" s="6" t="e">
        <f>(Tabel4[[#This Row],[Ny pris]]*12)/Tabel4[[#This Row],[kvm]]</f>
        <v>#DIV/0!</v>
      </c>
      <c r="N91" s="6">
        <f>Tabel4[[#This Row],[Ny pris]]-Tabel4[[#This Row],[Råleje]]</f>
        <v>0</v>
      </c>
      <c r="O91" s="6" t="s">
        <v>39</v>
      </c>
    </row>
    <row r="92" spans="1:15">
      <c r="A92" s="20" t="s">
        <v>149</v>
      </c>
      <c r="B92" t="s">
        <v>62</v>
      </c>
      <c r="D92" s="2" t="s">
        <v>34</v>
      </c>
      <c r="H92" s="3">
        <f>Tabel4[[#This Row],[Aconto]]+Tabel4[[#This Row],[Råleje]]</f>
        <v>0</v>
      </c>
      <c r="J92" s="4" t="e">
        <f>(Tabel4[[#This Row],[Råleje]]*12)/Tabel4[[#This Row],[kvm]]</f>
        <v>#DIV/0!</v>
      </c>
      <c r="K92" s="5">
        <v>45139</v>
      </c>
      <c r="M92" s="6" t="e">
        <f>(Tabel4[[#This Row],[Ny pris]]*12)/Tabel4[[#This Row],[kvm]]</f>
        <v>#DIV/0!</v>
      </c>
      <c r="N92" s="6">
        <f>Tabel4[[#This Row],[Ny pris]]-Tabel4[[#This Row],[Råleje]]</f>
        <v>0</v>
      </c>
      <c r="O92" s="6" t="s">
        <v>39</v>
      </c>
    </row>
    <row r="93" spans="1:15">
      <c r="A93" s="20" t="s">
        <v>150</v>
      </c>
      <c r="B93" t="s">
        <v>105</v>
      </c>
      <c r="D93" s="2" t="s">
        <v>34</v>
      </c>
      <c r="H93" s="3">
        <f>Tabel4[[#This Row],[Aconto]]+Tabel4[[#This Row],[Råleje]]</f>
        <v>0</v>
      </c>
      <c r="J93" s="4" t="e">
        <f>(Tabel4[[#This Row],[Råleje]]*12)/Tabel4[[#This Row],[kvm]]</f>
        <v>#DIV/0!</v>
      </c>
      <c r="K93" s="5">
        <v>45139</v>
      </c>
      <c r="M93" s="6" t="e">
        <f>(Tabel4[[#This Row],[Ny pris]]*12)/Tabel4[[#This Row],[kvm]]</f>
        <v>#DIV/0!</v>
      </c>
      <c r="N93" s="6">
        <f>Tabel4[[#This Row],[Ny pris]]-Tabel4[[#This Row],[Råleje]]</f>
        <v>0</v>
      </c>
      <c r="O93" s="6" t="s">
        <v>39</v>
      </c>
    </row>
    <row r="94" spans="1:15">
      <c r="A94" s="20" t="s">
        <v>151</v>
      </c>
      <c r="B94" t="s">
        <v>128</v>
      </c>
      <c r="D94" s="2" t="s">
        <v>34</v>
      </c>
      <c r="H94" s="3">
        <f>Tabel4[[#This Row],[Aconto]]+Tabel4[[#This Row],[Råleje]]</f>
        <v>0</v>
      </c>
      <c r="J94" s="4" t="e">
        <f>(Tabel4[[#This Row],[Råleje]]*12)/Tabel4[[#This Row],[kvm]]</f>
        <v>#DIV/0!</v>
      </c>
      <c r="K94" s="5">
        <v>45139</v>
      </c>
      <c r="M94" s="6" t="e">
        <f>(Tabel4[[#This Row],[Ny pris]]*12)/Tabel4[[#This Row],[kvm]]</f>
        <v>#DIV/0!</v>
      </c>
      <c r="N94" s="6">
        <f>Tabel4[[#This Row],[Ny pris]]-Tabel4[[#This Row],[Råleje]]</f>
        <v>0</v>
      </c>
      <c r="O94" s="6" t="s">
        <v>39</v>
      </c>
    </row>
    <row r="95" spans="1:15">
      <c r="A95" s="20" t="s">
        <v>152</v>
      </c>
      <c r="B95" t="s">
        <v>57</v>
      </c>
      <c r="D95" s="2" t="s">
        <v>34</v>
      </c>
      <c r="H95" s="3">
        <f>Tabel4[[#This Row],[Aconto]]+Tabel4[[#This Row],[Råleje]]</f>
        <v>0</v>
      </c>
      <c r="J95" s="4" t="e">
        <f>(Tabel4[[#This Row],[Råleje]]*12)/Tabel4[[#This Row],[kvm]]</f>
        <v>#DIV/0!</v>
      </c>
      <c r="K95" s="5">
        <v>45108</v>
      </c>
      <c r="M95" s="6" t="e">
        <f>(Tabel4[[#This Row],[Ny pris]]*12)/Tabel4[[#This Row],[kvm]]</f>
        <v>#DIV/0!</v>
      </c>
      <c r="N95" s="6">
        <f>Tabel4[[#This Row],[Ny pris]]-Tabel4[[#This Row],[Råleje]]</f>
        <v>0</v>
      </c>
      <c r="O95" s="6" t="s">
        <v>39</v>
      </c>
    </row>
    <row r="96" spans="1:15">
      <c r="A96" s="20" t="s">
        <v>153</v>
      </c>
      <c r="B96" t="s">
        <v>22</v>
      </c>
      <c r="D96" s="2" t="s">
        <v>34</v>
      </c>
      <c r="H96" s="3">
        <f>Tabel4[[#This Row],[Aconto]]+Tabel4[[#This Row],[Råleje]]</f>
        <v>0</v>
      </c>
      <c r="J96" s="4" t="e">
        <f>(Tabel4[[#This Row],[Råleje]]*12)/Tabel4[[#This Row],[kvm]]</f>
        <v>#DIV/0!</v>
      </c>
      <c r="K96" s="5">
        <v>45108</v>
      </c>
      <c r="M96" s="6" t="e">
        <f>(Tabel4[[#This Row],[Ny pris]]*12)/Tabel4[[#This Row],[kvm]]</f>
        <v>#DIV/0!</v>
      </c>
      <c r="N96" s="6">
        <f>Tabel4[[#This Row],[Ny pris]]-Tabel4[[#This Row],[Råleje]]</f>
        <v>0</v>
      </c>
      <c r="O96" s="6" t="s">
        <v>39</v>
      </c>
    </row>
    <row r="97" spans="1:15">
      <c r="A97" s="20" t="s">
        <v>154</v>
      </c>
      <c r="B97" t="s">
        <v>41</v>
      </c>
      <c r="D97" s="2" t="s">
        <v>34</v>
      </c>
      <c r="H97" s="3">
        <f>Tabel4[[#This Row],[Aconto]]+Tabel4[[#This Row],[Råleje]]</f>
        <v>0</v>
      </c>
      <c r="J97" s="4" t="e">
        <f>(Tabel4[[#This Row],[Råleje]]*12)/Tabel4[[#This Row],[kvm]]</f>
        <v>#DIV/0!</v>
      </c>
      <c r="K97" s="5">
        <v>45078</v>
      </c>
      <c r="M97" s="6" t="e">
        <f>(Tabel4[[#This Row],[Ny pris]]*12)/Tabel4[[#This Row],[kvm]]</f>
        <v>#DIV/0!</v>
      </c>
      <c r="N97" s="6">
        <f>Tabel4[[#This Row],[Ny pris]]-Tabel4[[#This Row],[Råleje]]</f>
        <v>0</v>
      </c>
      <c r="O97" s="6" t="s">
        <v>39</v>
      </c>
    </row>
    <row r="98" spans="1:15">
      <c r="A98" s="29" t="s">
        <v>155</v>
      </c>
      <c r="B98" t="s">
        <v>22</v>
      </c>
      <c r="D98" s="2" t="s">
        <v>34</v>
      </c>
      <c r="H98" s="3">
        <f>Tabel4[[#This Row],[Aconto]]+Tabel4[[#This Row],[Råleje]]</f>
        <v>0</v>
      </c>
      <c r="J98" s="4" t="e">
        <f>(Tabel4[[#This Row],[Råleje]]*12)/Tabel4[[#This Row],[kvm]]</f>
        <v>#DIV/0!</v>
      </c>
      <c r="K98" s="5">
        <v>45047</v>
      </c>
      <c r="M98" s="6" t="e">
        <f>(Tabel4[[#This Row],[Ny pris]]*12)/Tabel4[[#This Row],[kvm]]</f>
        <v>#DIV/0!</v>
      </c>
      <c r="N98" s="6">
        <f>Tabel4[[#This Row],[Ny pris]]-Tabel4[[#This Row],[Råleje]]</f>
        <v>0</v>
      </c>
      <c r="O98" s="6" t="s">
        <v>39</v>
      </c>
    </row>
    <row r="99" spans="1:15">
      <c r="A99" s="20" t="s">
        <v>156</v>
      </c>
      <c r="B99" t="s">
        <v>38</v>
      </c>
      <c r="D99" s="2" t="s">
        <v>34</v>
      </c>
      <c r="H99" s="3">
        <f>Tabel4[[#This Row],[Aconto]]+Tabel4[[#This Row],[Råleje]]</f>
        <v>0</v>
      </c>
      <c r="J99" s="4" t="e">
        <f>(Tabel4[[#This Row],[Råleje]]*12)/Tabel4[[#This Row],[kvm]]</f>
        <v>#DIV/0!</v>
      </c>
      <c r="K99" s="5">
        <v>44986</v>
      </c>
      <c r="M99" s="6" t="e">
        <f>(Tabel4[[#This Row],[Ny pris]]*12)/Tabel4[[#This Row],[kvm]]</f>
        <v>#DIV/0!</v>
      </c>
      <c r="N99" s="6">
        <f>Tabel4[[#This Row],[Ny pris]]-Tabel4[[#This Row],[Råleje]]</f>
        <v>0</v>
      </c>
      <c r="O99" s="6" t="s">
        <v>39</v>
      </c>
    </row>
    <row r="100" spans="1:15">
      <c r="A100" s="20" t="s">
        <v>157</v>
      </c>
      <c r="B100" t="s">
        <v>25</v>
      </c>
      <c r="D100" s="2" t="s">
        <v>34</v>
      </c>
      <c r="H100" s="3">
        <f>Tabel4[[#This Row],[Aconto]]+Tabel4[[#This Row],[Råleje]]</f>
        <v>0</v>
      </c>
      <c r="J100" s="4" t="e">
        <f>(Tabel4[[#This Row],[Råleje]]*12)/Tabel4[[#This Row],[kvm]]</f>
        <v>#DIV/0!</v>
      </c>
      <c r="K100" s="5">
        <v>44986</v>
      </c>
      <c r="M100" s="6" t="e">
        <f>(Tabel4[[#This Row],[Ny pris]]*12)/Tabel4[[#This Row],[kvm]]</f>
        <v>#DIV/0!</v>
      </c>
      <c r="N100" s="6">
        <f>Tabel4[[#This Row],[Ny pris]]-Tabel4[[#This Row],[Råleje]]</f>
        <v>0</v>
      </c>
      <c r="O100" s="6" t="s">
        <v>39</v>
      </c>
    </row>
    <row r="101" spans="1:15">
      <c r="A101" s="20" t="s">
        <v>158</v>
      </c>
      <c r="B101" t="s">
        <v>57</v>
      </c>
      <c r="D101" s="2" t="s">
        <v>34</v>
      </c>
      <c r="H101" s="3">
        <f>Tabel4[[#This Row],[Aconto]]+Tabel4[[#This Row],[Råleje]]</f>
        <v>0</v>
      </c>
      <c r="J101" s="4" t="e">
        <f>(Tabel4[[#This Row],[Råleje]]*12)/Tabel4[[#This Row],[kvm]]</f>
        <v>#DIV/0!</v>
      </c>
      <c r="K101" s="5">
        <v>44927</v>
      </c>
      <c r="M101" s="6" t="e">
        <f>(Tabel4[[#This Row],[Ny pris]]*12)/Tabel4[[#This Row],[kvm]]</f>
        <v>#DIV/0!</v>
      </c>
      <c r="N101" s="6">
        <f>Tabel4[[#This Row],[Ny pris]]-Tabel4[[#This Row],[Råleje]]</f>
        <v>0</v>
      </c>
      <c r="O101" s="6" t="s">
        <v>39</v>
      </c>
    </row>
    <row r="102" spans="1:15">
      <c r="A102" s="20" t="s">
        <v>159</v>
      </c>
      <c r="B102" t="s">
        <v>105</v>
      </c>
      <c r="D102" s="2" t="s">
        <v>34</v>
      </c>
      <c r="H102" s="3">
        <f>Tabel4[[#This Row],[Aconto]]+Tabel4[[#This Row],[Råleje]]</f>
        <v>0</v>
      </c>
      <c r="J102" s="4" t="e">
        <f>(Tabel4[[#This Row],[Råleje]]*12)/Tabel4[[#This Row],[kvm]]</f>
        <v>#DIV/0!</v>
      </c>
      <c r="K102" s="5">
        <v>44880</v>
      </c>
      <c r="M102" s="6" t="e">
        <f>(Tabel4[[#This Row],[Ny pris]]*12)/Tabel4[[#This Row],[kvm]]</f>
        <v>#DIV/0!</v>
      </c>
      <c r="N102" s="6">
        <f>Tabel4[[#This Row],[Ny pris]]-Tabel4[[#This Row],[Råleje]]</f>
        <v>0</v>
      </c>
      <c r="O102" s="6" t="s">
        <v>39</v>
      </c>
    </row>
    <row r="103" spans="1:15">
      <c r="A103" s="20" t="s">
        <v>160</v>
      </c>
      <c r="B103" t="s">
        <v>25</v>
      </c>
      <c r="D103" s="2" t="s">
        <v>34</v>
      </c>
      <c r="H103" s="3">
        <f>Tabel4[[#This Row],[Aconto]]+Tabel4[[#This Row],[Råleje]]</f>
        <v>0</v>
      </c>
      <c r="J103" s="4" t="e">
        <f>(Tabel4[[#This Row],[Råleje]]*12)/Tabel4[[#This Row],[kvm]]</f>
        <v>#DIV/0!</v>
      </c>
      <c r="K103" s="5">
        <v>44866</v>
      </c>
      <c r="M103" s="6" t="e">
        <f>(Tabel4[[#This Row],[Ny pris]]*12)/Tabel4[[#This Row],[kvm]]</f>
        <v>#DIV/0!</v>
      </c>
      <c r="N103" s="6">
        <f>Tabel4[[#This Row],[Ny pris]]-Tabel4[[#This Row],[Råleje]]</f>
        <v>0</v>
      </c>
      <c r="O103" s="6" t="s">
        <v>39</v>
      </c>
    </row>
    <row r="104" spans="1:15">
      <c r="A104" s="20" t="s">
        <v>161</v>
      </c>
      <c r="B104" t="s">
        <v>85</v>
      </c>
      <c r="D104" s="2" t="s">
        <v>34</v>
      </c>
      <c r="H104" s="3">
        <f>Tabel4[[#This Row],[Aconto]]+Tabel4[[#This Row],[Råleje]]</f>
        <v>0</v>
      </c>
      <c r="J104" s="4" t="e">
        <f>(Tabel4[[#This Row],[Råleje]]*12)/Tabel4[[#This Row],[kvm]]</f>
        <v>#DIV/0!</v>
      </c>
      <c r="K104" s="5">
        <v>44774</v>
      </c>
      <c r="M104" s="6" t="e">
        <f>(Tabel4[[#This Row],[Ny pris]]*12)/Tabel4[[#This Row],[kvm]]</f>
        <v>#DIV/0!</v>
      </c>
      <c r="N104" s="6">
        <f>Tabel4[[#This Row],[Ny pris]]-Tabel4[[#This Row],[Råleje]]</f>
        <v>0</v>
      </c>
      <c r="O104" s="6" t="s">
        <v>39</v>
      </c>
    </row>
    <row r="105" spans="1:15">
      <c r="A105" s="1" t="s">
        <v>162</v>
      </c>
      <c r="B105" t="s">
        <v>113</v>
      </c>
      <c r="D105" s="2" t="s">
        <v>34</v>
      </c>
      <c r="H105" s="3">
        <f>Tabel4[[#This Row],[Aconto]]+Tabel4[[#This Row],[Råleje]]</f>
        <v>0</v>
      </c>
      <c r="J105" s="4" t="e">
        <f>(Tabel4[[#This Row],[Råleje]]*12)/Tabel4[[#This Row],[kvm]]</f>
        <v>#DIV/0!</v>
      </c>
      <c r="K105" s="5">
        <v>44409</v>
      </c>
      <c r="M105" s="6" t="e">
        <f>(Tabel4[[#This Row],[Ny pris]]*12)/Tabel4[[#This Row],[kvm]]</f>
        <v>#DIV/0!</v>
      </c>
      <c r="N105" s="6">
        <f>Tabel4[[#This Row],[Ny pris]]-Tabel4[[#This Row],[Råleje]]</f>
        <v>0</v>
      </c>
      <c r="O105" s="6" t="s">
        <v>39</v>
      </c>
    </row>
    <row r="106" spans="1:15">
      <c r="A106" s="20" t="s">
        <v>163</v>
      </c>
      <c r="B106" t="s">
        <v>77</v>
      </c>
      <c r="D106" s="2" t="s">
        <v>34</v>
      </c>
      <c r="H106" s="3">
        <f>Tabel4[[#This Row],[Aconto]]+Tabel4[[#This Row],[Råleje]]</f>
        <v>0</v>
      </c>
      <c r="J106" s="4" t="e">
        <f>(Tabel4[[#This Row],[Råleje]]*12)/Tabel4[[#This Row],[kvm]]</f>
        <v>#DIV/0!</v>
      </c>
      <c r="K106" s="5">
        <v>44317</v>
      </c>
      <c r="M106" s="6" t="e">
        <f>(Tabel4[[#This Row],[Ny pris]]*12)/Tabel4[[#This Row],[kvm]]</f>
        <v>#DIV/0!</v>
      </c>
      <c r="N106" s="6">
        <f>Tabel4[[#This Row],[Ny pris]]-Tabel4[[#This Row],[Råleje]]</f>
        <v>0</v>
      </c>
      <c r="O106" s="6" t="s">
        <v>39</v>
      </c>
    </row>
    <row r="107" spans="1:15">
      <c r="A107" s="20" t="s">
        <v>164</v>
      </c>
      <c r="B107" t="s">
        <v>113</v>
      </c>
      <c r="D107" s="2" t="s">
        <v>34</v>
      </c>
      <c r="H107" s="3">
        <f>Tabel4[[#This Row],[Aconto]]+Tabel4[[#This Row],[Råleje]]</f>
        <v>0</v>
      </c>
      <c r="J107" s="4" t="e">
        <f>(Tabel4[[#This Row],[Råleje]]*12)/Tabel4[[#This Row],[kvm]]</f>
        <v>#DIV/0!</v>
      </c>
      <c r="K107" s="5">
        <v>44166</v>
      </c>
      <c r="M107" s="6" t="e">
        <f>(Tabel4[[#This Row],[Ny pris]]*12)/Tabel4[[#This Row],[kvm]]</f>
        <v>#DIV/0!</v>
      </c>
      <c r="N107" s="6">
        <f>Tabel4[[#This Row],[Ny pris]]-Tabel4[[#This Row],[Råleje]]</f>
        <v>0</v>
      </c>
      <c r="O107" s="6" t="s">
        <v>39</v>
      </c>
    </row>
    <row r="108" spans="1:15">
      <c r="A108" s="1" t="s">
        <v>165</v>
      </c>
      <c r="B108" t="s">
        <v>41</v>
      </c>
      <c r="D108" s="2" t="s">
        <v>34</v>
      </c>
      <c r="H108" s="3">
        <f>Tabel4[[#This Row],[Aconto]]+Tabel4[[#This Row],[Råleje]]</f>
        <v>0</v>
      </c>
      <c r="J108" s="4" t="e">
        <f>(Tabel4[[#This Row],[Råleje]]*12)/Tabel4[[#This Row],[kvm]]</f>
        <v>#DIV/0!</v>
      </c>
      <c r="K108" s="5">
        <v>44136</v>
      </c>
      <c r="M108" s="6" t="e">
        <f>(Tabel4[[#This Row],[Ny pris]]*12)/Tabel4[[#This Row],[kvm]]</f>
        <v>#DIV/0!</v>
      </c>
      <c r="N108" s="6">
        <f>Tabel4[[#This Row],[Ny pris]]-Tabel4[[#This Row],[Råleje]]</f>
        <v>0</v>
      </c>
      <c r="O108" s="6" t="s">
        <v>39</v>
      </c>
    </row>
    <row r="109" spans="1:15">
      <c r="A109" s="20" t="s">
        <v>166</v>
      </c>
      <c r="B109" t="s">
        <v>57</v>
      </c>
      <c r="D109" s="2" t="s">
        <v>34</v>
      </c>
      <c r="H109" s="3">
        <f>Tabel4[[#This Row],[Aconto]]+Tabel4[[#This Row],[Råleje]]</f>
        <v>0</v>
      </c>
      <c r="J109" s="4" t="e">
        <f>(Tabel4[[#This Row],[Råleje]]*12)/Tabel4[[#This Row],[kvm]]</f>
        <v>#DIV/0!</v>
      </c>
      <c r="K109" s="5">
        <v>44105</v>
      </c>
      <c r="M109" s="6" t="e">
        <f>(Tabel4[[#This Row],[Ny pris]]*12)/Tabel4[[#This Row],[kvm]]</f>
        <v>#DIV/0!</v>
      </c>
      <c r="N109" s="6">
        <f>Tabel4[[#This Row],[Ny pris]]-Tabel4[[#This Row],[Råleje]]</f>
        <v>0</v>
      </c>
      <c r="O109" s="6" t="s">
        <v>39</v>
      </c>
    </row>
    <row r="110" spans="1:15">
      <c r="A110" s="20" t="s">
        <v>167</v>
      </c>
      <c r="B110" t="s">
        <v>168</v>
      </c>
      <c r="D110" s="2" t="s">
        <v>34</v>
      </c>
      <c r="H110" s="3">
        <f>Tabel4[[#This Row],[Aconto]]+Tabel4[[#This Row],[Råleje]]</f>
        <v>0</v>
      </c>
      <c r="J110" s="4" t="e">
        <f>(Tabel4[[#This Row],[Råleje]]*12)/Tabel4[[#This Row],[kvm]]</f>
        <v>#DIV/0!</v>
      </c>
      <c r="K110" s="5">
        <v>44105</v>
      </c>
      <c r="M110" s="6" t="e">
        <f>(Tabel4[[#This Row],[Ny pris]]*12)/Tabel4[[#This Row],[kvm]]</f>
        <v>#DIV/0!</v>
      </c>
      <c r="N110" s="6">
        <f>Tabel4[[#This Row],[Ny pris]]-Tabel4[[#This Row],[Råleje]]</f>
        <v>0</v>
      </c>
      <c r="O110" s="6" t="s">
        <v>39</v>
      </c>
    </row>
    <row r="111" spans="1:15">
      <c r="A111" s="20" t="s">
        <v>169</v>
      </c>
      <c r="B111" t="s">
        <v>111</v>
      </c>
      <c r="D111" s="2" t="s">
        <v>34</v>
      </c>
      <c r="H111" s="3">
        <f>Tabel4[[#This Row],[Aconto]]+Tabel4[[#This Row],[Råleje]]</f>
        <v>0</v>
      </c>
      <c r="J111" s="4" t="e">
        <f>(Tabel4[[#This Row],[Råleje]]*12)/Tabel4[[#This Row],[kvm]]</f>
        <v>#DIV/0!</v>
      </c>
      <c r="K111" s="5">
        <v>44075</v>
      </c>
      <c r="M111" s="6" t="e">
        <f>(Tabel4[[#This Row],[Ny pris]]*12)/Tabel4[[#This Row],[kvm]]</f>
        <v>#DIV/0!</v>
      </c>
      <c r="N111" s="6">
        <f>Tabel4[[#This Row],[Ny pris]]-Tabel4[[#This Row],[Råleje]]</f>
        <v>0</v>
      </c>
      <c r="O111" s="6" t="s">
        <v>39</v>
      </c>
    </row>
    <row r="112" spans="1:15">
      <c r="A112" s="1" t="s">
        <v>170</v>
      </c>
      <c r="B112" t="s">
        <v>22</v>
      </c>
      <c r="D112" s="2" t="s">
        <v>34</v>
      </c>
      <c r="H112" s="3">
        <f>Tabel4[[#This Row],[Aconto]]+Tabel4[[#This Row],[Råleje]]</f>
        <v>0</v>
      </c>
      <c r="J112" s="4" t="e">
        <f>(Tabel4[[#This Row],[Råleje]]*12)/Tabel4[[#This Row],[kvm]]</f>
        <v>#DIV/0!</v>
      </c>
      <c r="K112" s="5">
        <v>43862</v>
      </c>
      <c r="M112" s="6" t="e">
        <f>(Tabel4[[#This Row],[Ny pris]]*12)/Tabel4[[#This Row],[kvm]]</f>
        <v>#DIV/0!</v>
      </c>
      <c r="N112" s="6">
        <f>Tabel4[[#This Row],[Ny pris]]-Tabel4[[#This Row],[Råleje]]</f>
        <v>0</v>
      </c>
      <c r="O112" s="6" t="s">
        <v>39</v>
      </c>
    </row>
    <row r="113" spans="1:15">
      <c r="A113" s="20" t="s">
        <v>171</v>
      </c>
      <c r="B113" t="s">
        <v>27</v>
      </c>
      <c r="D113" s="2" t="s">
        <v>34</v>
      </c>
      <c r="H113" s="3">
        <f>Tabel4[[#This Row],[Aconto]]+Tabel4[[#This Row],[Råleje]]</f>
        <v>0</v>
      </c>
      <c r="J113" s="4" t="e">
        <f>(Tabel4[[#This Row],[Råleje]]*12)/Tabel4[[#This Row],[kvm]]</f>
        <v>#DIV/0!</v>
      </c>
      <c r="K113" s="5">
        <v>43556</v>
      </c>
      <c r="M113" s="6" t="e">
        <f>(Tabel4[[#This Row],[Ny pris]]*12)/Tabel4[[#This Row],[kvm]]</f>
        <v>#DIV/0!</v>
      </c>
      <c r="N113" s="6">
        <f>Tabel4[[#This Row],[Ny pris]]-Tabel4[[#This Row],[Råleje]]</f>
        <v>0</v>
      </c>
      <c r="O113" s="6" t="s">
        <v>39</v>
      </c>
    </row>
    <row r="114" spans="1:15">
      <c r="A114" s="20" t="s">
        <v>172</v>
      </c>
      <c r="B114" t="s">
        <v>27</v>
      </c>
      <c r="D114" s="2" t="s">
        <v>34</v>
      </c>
      <c r="H114" s="3">
        <f>Tabel4[[#This Row],[Aconto]]+Tabel4[[#This Row],[Råleje]]</f>
        <v>0</v>
      </c>
      <c r="J114" s="4" t="e">
        <f>(Tabel4[[#This Row],[Råleje]]*12)/Tabel4[[#This Row],[kvm]]</f>
        <v>#DIV/0!</v>
      </c>
      <c r="K114" s="5">
        <v>43358</v>
      </c>
      <c r="M114" s="6" t="e">
        <f>(Tabel4[[#This Row],[Ny pris]]*12)/Tabel4[[#This Row],[kvm]]</f>
        <v>#DIV/0!</v>
      </c>
      <c r="N114" s="6">
        <f>Tabel4[[#This Row],[Ny pris]]-Tabel4[[#This Row],[Råleje]]</f>
        <v>0</v>
      </c>
      <c r="O114" s="6" t="s">
        <v>39</v>
      </c>
    </row>
    <row r="115" spans="1:15">
      <c r="A115" s="1" t="s">
        <v>173</v>
      </c>
      <c r="B115" t="s">
        <v>168</v>
      </c>
      <c r="D115" s="2" t="s">
        <v>34</v>
      </c>
      <c r="H115" s="3">
        <f>Tabel4[[#This Row],[Aconto]]+Tabel4[[#This Row],[Råleje]]</f>
        <v>0</v>
      </c>
      <c r="J115" s="4" t="e">
        <f>(Tabel4[[#This Row],[Råleje]]*12)/Tabel4[[#This Row],[kvm]]</f>
        <v>#DIV/0!</v>
      </c>
      <c r="K115" s="5">
        <v>43132</v>
      </c>
      <c r="M115" s="6" t="e">
        <f>(Tabel4[[#This Row],[Ny pris]]*12)/Tabel4[[#This Row],[kvm]]</f>
        <v>#DIV/0!</v>
      </c>
      <c r="N115" s="6">
        <f>Tabel4[[#This Row],[Ny pris]]-Tabel4[[#This Row],[Råleje]]</f>
        <v>0</v>
      </c>
      <c r="O115" s="6" t="s">
        <v>39</v>
      </c>
    </row>
    <row r="116" spans="1:15">
      <c r="A116" s="20" t="s">
        <v>174</v>
      </c>
      <c r="B116" t="s">
        <v>103</v>
      </c>
      <c r="D116" s="2" t="s">
        <v>34</v>
      </c>
      <c r="H116" s="3">
        <f>Tabel4[[#This Row],[Aconto]]+Tabel4[[#This Row],[Råleje]]</f>
        <v>0</v>
      </c>
      <c r="J116" s="4" t="e">
        <f>(Tabel4[[#This Row],[Råleje]]*12)/Tabel4[[#This Row],[kvm]]</f>
        <v>#DIV/0!</v>
      </c>
      <c r="K116" s="5">
        <v>45809</v>
      </c>
      <c r="M116" s="6" t="e">
        <f>(Tabel4[[#This Row],[Ny pris]]*12)/Tabel4[[#This Row],[kvm]]</f>
        <v>#DIV/0!</v>
      </c>
      <c r="N116" s="6">
        <f>Tabel4[[#This Row],[Ny pris]]-Tabel4[[#This Row],[Råleje]]</f>
        <v>0</v>
      </c>
      <c r="O116" s="6" t="s">
        <v>39</v>
      </c>
    </row>
  </sheetData>
  <conditionalFormatting sqref="A2:A116">
    <cfRule type="duplicateValues" dxfId="31" priority="16"/>
  </conditionalFormatting>
  <conditionalFormatting sqref="A3">
    <cfRule type="duplicateValues" dxfId="30" priority="2"/>
  </conditionalFormatting>
  <conditionalFormatting sqref="A3:A20">
    <cfRule type="duplicateValues" dxfId="29" priority="6"/>
  </conditionalFormatting>
  <conditionalFormatting sqref="A4:A20">
    <cfRule type="duplicateValues" dxfId="28" priority="1"/>
  </conditionalFormatting>
  <conditionalFormatting sqref="D2">
    <cfRule type="containsText" dxfId="27" priority="11" operator="containsText" text="Reserveret">
      <formula>NOT(ISERROR(SEARCH("Reserveret",D2)))</formula>
    </cfRule>
    <cfRule type="containsText" dxfId="26" priority="12" operator="containsText" text="Tomgang">
      <formula>NOT(ISERROR(SEARCH("Tomgang",D2)))</formula>
    </cfRule>
    <cfRule type="containsText" dxfId="25" priority="14" operator="containsText" text="Udlejet">
      <formula>NOT(ISERROR(SEARCH("Udlejet",D2)))</formula>
    </cfRule>
  </conditionalFormatting>
  <conditionalFormatting sqref="D2:D116">
    <cfRule type="containsText" dxfId="24" priority="7" operator="containsText" text="Opsagt">
      <formula>NOT(ISERROR(SEARCH("Opsagt",D2)))</formula>
    </cfRule>
    <cfRule type="containsText" dxfId="23" priority="8" operator="containsText" text="Reserveret">
      <formula>NOT(ISERROR(SEARCH("Reserveret",D2)))</formula>
    </cfRule>
    <cfRule type="containsText" dxfId="22" priority="9" operator="containsText" text="Tomgang">
      <formula>NOT(ISERROR(SEARCH("Tomgang",D2)))</formula>
    </cfRule>
    <cfRule type="containsText" dxfId="21" priority="10" operator="containsText" text="Udlejet">
      <formula>NOT(ISERROR(SEARCH("Udlejet",D2)))</formula>
    </cfRule>
    <cfRule type="containsText" dxfId="20" priority="13" operator="containsText" text="retur">
      <formula>NOT(ISERROR(SEARCH("retur",D2)))</formula>
    </cfRule>
    <cfRule type="cellIs" dxfId="19" priority="15" operator="equal">
      <formula>"under udvikling"</formula>
    </cfRule>
  </conditionalFormatting>
  <conditionalFormatting sqref="D3:D20">
    <cfRule type="containsText" dxfId="18" priority="3" operator="containsText" text="Reserveret">
      <formula>NOT(ISERROR(SEARCH("Reserveret",D3)))</formula>
    </cfRule>
    <cfRule type="containsText" dxfId="17" priority="4" operator="containsText" text="Tomgang">
      <formula>NOT(ISERROR(SEARCH("Tomgang",D3)))</formula>
    </cfRule>
    <cfRule type="containsText" dxfId="16" priority="5" operator="containsText" text="Udlejet">
      <formula>NOT(ISERROR(SEARCH("Udlejet",D3)))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DEE053D2386554E885687B19D5EEE2B" ma:contentTypeVersion="15" ma:contentTypeDescription="Opret et nyt dokument." ma:contentTypeScope="" ma:versionID="86f56927863577354fc20050ce932a30">
  <xsd:schema xmlns:xsd="http://www.w3.org/2001/XMLSchema" xmlns:xs="http://www.w3.org/2001/XMLSchema" xmlns:p="http://schemas.microsoft.com/office/2006/metadata/properties" xmlns:ns2="344c969b-fec5-4f86-a31e-e8aa3bb9eaf2" xmlns:ns3="182401d0-d317-4ff4-aee8-d8be7947042b" targetNamespace="http://schemas.microsoft.com/office/2006/metadata/properties" ma:root="true" ma:fieldsID="4c5ac03944cd214650bcf9341fea27f7" ns2:_="" ns3:_="">
    <xsd:import namespace="344c969b-fec5-4f86-a31e-e8aa3bb9eaf2"/>
    <xsd:import namespace="182401d0-d317-4ff4-aee8-d8be79470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c969b-fec5-4f86-a31e-e8aa3bb9e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af588f4a-193e-45a8-99d8-6aeb73f515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401d0-d317-4ff4-aee8-d8be794704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106ceb-97ad-4666-9415-65210d99d45e}" ma:internalName="TaxCatchAll" ma:showField="CatchAllData" ma:web="182401d0-d317-4ff4-aee8-d8be79470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c969b-fec5-4f86-a31e-e8aa3bb9eaf2">
      <Terms xmlns="http://schemas.microsoft.com/office/infopath/2007/PartnerControls"/>
    </lcf76f155ced4ddcb4097134ff3c332f>
    <TaxCatchAll xmlns="182401d0-d317-4ff4-aee8-d8be7947042b" xsi:nil="true"/>
  </documentManagement>
</p:properties>
</file>

<file path=customXml/itemProps1.xml><?xml version="1.0" encoding="utf-8"?>
<ds:datastoreItem xmlns:ds="http://schemas.openxmlformats.org/officeDocument/2006/customXml" ds:itemID="{FCFBF583-9204-436C-9BE3-1167794D5AC2}"/>
</file>

<file path=customXml/itemProps2.xml><?xml version="1.0" encoding="utf-8"?>
<ds:datastoreItem xmlns:ds="http://schemas.openxmlformats.org/officeDocument/2006/customXml" ds:itemID="{BBA056B9-076B-49B4-8795-9E197C07C85E}"/>
</file>

<file path=customXml/itemProps3.xml><?xml version="1.0" encoding="utf-8"?>
<ds:datastoreItem xmlns:ds="http://schemas.openxmlformats.org/officeDocument/2006/customXml" ds:itemID="{8565FBF2-BFCE-4A8C-B2F3-C87862F4C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 Lund Rype</dc:creator>
  <cp:keywords/>
  <dc:description/>
  <cp:lastModifiedBy/>
  <cp:revision/>
  <dcterms:created xsi:type="dcterms:W3CDTF">2025-10-10T07:06:13Z</dcterms:created>
  <dcterms:modified xsi:type="dcterms:W3CDTF">2025-10-10T07:08:16Z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0x0101006DEE053D2386554E885687B19D5EEE2B</vt:lpwstr>
  </property>
</Properties>
</file>