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https://dmboligdk.sharepoint.com/Delte dokumenter/LEJEMÅL - EXCEL/Alle udlejere/Lykkebo/ANALYSE/"/>
    </mc:Choice>
  </mc:AlternateContent>
  <xr:revisionPtr revIDLastSave="0" documentId="8_{D8CA1917-C219-48E2-948F-CB1A29EDB6A7}" xr6:coauthVersionLast="47" xr6:coauthVersionMax="47" xr10:uidLastSave="{00000000-0000-0000-0000-000000000000}"/>
  <bookViews>
    <workbookView xWindow="28680" yWindow="-120" windowWidth="38640" windowHeight="21240" xr2:uid="{08D81E29-7E10-4505-AD51-F18F735F9A81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6" i="1" l="1"/>
  <c r="N116" i="1"/>
  <c r="K116" i="1"/>
  <c r="I116" i="1"/>
  <c r="O115" i="1"/>
  <c r="N115" i="1"/>
  <c r="K115" i="1"/>
  <c r="I115" i="1"/>
  <c r="O114" i="1"/>
  <c r="N114" i="1"/>
  <c r="K114" i="1"/>
  <c r="I114" i="1"/>
  <c r="O113" i="1"/>
  <c r="N113" i="1"/>
  <c r="K113" i="1"/>
  <c r="I113" i="1"/>
  <c r="O112" i="1"/>
  <c r="N112" i="1"/>
  <c r="K112" i="1"/>
  <c r="I112" i="1"/>
  <c r="O111" i="1"/>
  <c r="N111" i="1"/>
  <c r="K111" i="1"/>
  <c r="I111" i="1"/>
  <c r="O110" i="1"/>
  <c r="N110" i="1"/>
  <c r="K110" i="1"/>
  <c r="I110" i="1"/>
  <c r="O109" i="1"/>
  <c r="N109" i="1"/>
  <c r="K109" i="1"/>
  <c r="I109" i="1"/>
  <c r="O108" i="1"/>
  <c r="N108" i="1"/>
  <c r="K108" i="1"/>
  <c r="I108" i="1"/>
  <c r="O107" i="1"/>
  <c r="N107" i="1"/>
  <c r="K107" i="1"/>
  <c r="I107" i="1"/>
  <c r="O106" i="1"/>
  <c r="N106" i="1"/>
  <c r="K106" i="1"/>
  <c r="I106" i="1"/>
  <c r="O105" i="1"/>
  <c r="N105" i="1"/>
  <c r="K105" i="1"/>
  <c r="I105" i="1"/>
  <c r="O104" i="1"/>
  <c r="N104" i="1"/>
  <c r="K104" i="1"/>
  <c r="I104" i="1"/>
  <c r="O103" i="1"/>
  <c r="N103" i="1"/>
  <c r="K103" i="1"/>
  <c r="I103" i="1"/>
  <c r="O102" i="1"/>
  <c r="N102" i="1"/>
  <c r="K102" i="1"/>
  <c r="I102" i="1"/>
  <c r="O101" i="1"/>
  <c r="N101" i="1"/>
  <c r="K101" i="1"/>
  <c r="I101" i="1"/>
  <c r="O100" i="1"/>
  <c r="N100" i="1"/>
  <c r="K100" i="1"/>
  <c r="I100" i="1"/>
  <c r="O99" i="1"/>
  <c r="N99" i="1"/>
  <c r="K99" i="1"/>
  <c r="I99" i="1"/>
  <c r="O98" i="1"/>
  <c r="N98" i="1"/>
  <c r="K98" i="1"/>
  <c r="I98" i="1"/>
  <c r="O97" i="1"/>
  <c r="N97" i="1"/>
  <c r="K97" i="1"/>
  <c r="I97" i="1"/>
  <c r="O96" i="1"/>
  <c r="N96" i="1"/>
  <c r="K96" i="1"/>
  <c r="I96" i="1"/>
  <c r="O95" i="1"/>
  <c r="N95" i="1"/>
  <c r="K95" i="1"/>
  <c r="I95" i="1"/>
  <c r="O94" i="1"/>
  <c r="N94" i="1"/>
  <c r="K94" i="1"/>
  <c r="I94" i="1"/>
  <c r="O93" i="1"/>
  <c r="N93" i="1"/>
  <c r="K93" i="1"/>
  <c r="I93" i="1"/>
  <c r="O92" i="1"/>
  <c r="N92" i="1"/>
  <c r="K92" i="1"/>
  <c r="I92" i="1"/>
  <c r="O91" i="1"/>
  <c r="N91" i="1"/>
  <c r="K91" i="1"/>
  <c r="I91" i="1"/>
  <c r="O90" i="1"/>
  <c r="N90" i="1"/>
  <c r="K90" i="1"/>
  <c r="I90" i="1"/>
  <c r="O89" i="1"/>
  <c r="N89" i="1"/>
  <c r="K89" i="1"/>
  <c r="I89" i="1"/>
  <c r="O88" i="1"/>
  <c r="N88" i="1"/>
  <c r="K88" i="1"/>
  <c r="I88" i="1"/>
  <c r="O87" i="1"/>
  <c r="N87" i="1"/>
  <c r="K87" i="1"/>
  <c r="I87" i="1"/>
  <c r="O86" i="1"/>
  <c r="N86" i="1"/>
  <c r="K86" i="1"/>
  <c r="I86" i="1"/>
  <c r="O85" i="1"/>
  <c r="N85" i="1"/>
  <c r="K85" i="1"/>
  <c r="I85" i="1"/>
  <c r="O84" i="1"/>
  <c r="N84" i="1"/>
  <c r="K84" i="1"/>
  <c r="I84" i="1"/>
  <c r="O83" i="1"/>
  <c r="N83" i="1"/>
  <c r="K83" i="1"/>
  <c r="I83" i="1"/>
  <c r="O82" i="1"/>
  <c r="N82" i="1"/>
  <c r="K82" i="1"/>
  <c r="I82" i="1"/>
  <c r="O81" i="1"/>
  <c r="N81" i="1"/>
  <c r="K81" i="1"/>
  <c r="I81" i="1"/>
  <c r="O80" i="1"/>
  <c r="N80" i="1"/>
  <c r="K80" i="1"/>
  <c r="I80" i="1"/>
  <c r="O79" i="1"/>
  <c r="N79" i="1"/>
  <c r="K79" i="1"/>
  <c r="I79" i="1"/>
  <c r="O78" i="1"/>
  <c r="N78" i="1"/>
  <c r="K78" i="1"/>
  <c r="I78" i="1"/>
  <c r="O77" i="1"/>
  <c r="N77" i="1"/>
  <c r="K77" i="1"/>
  <c r="I77" i="1"/>
  <c r="O76" i="1"/>
  <c r="N76" i="1"/>
  <c r="K76" i="1"/>
  <c r="I76" i="1"/>
  <c r="O75" i="1"/>
  <c r="N75" i="1"/>
  <c r="K75" i="1"/>
  <c r="I75" i="1"/>
  <c r="O74" i="1"/>
  <c r="N74" i="1"/>
  <c r="K74" i="1"/>
  <c r="I74" i="1"/>
  <c r="O73" i="1"/>
  <c r="N73" i="1"/>
  <c r="K73" i="1"/>
  <c r="I73" i="1"/>
  <c r="O72" i="1"/>
  <c r="N72" i="1"/>
  <c r="K72" i="1"/>
  <c r="I72" i="1"/>
  <c r="O71" i="1"/>
  <c r="N71" i="1"/>
  <c r="K71" i="1"/>
  <c r="I71" i="1"/>
  <c r="O70" i="1"/>
  <c r="N70" i="1"/>
  <c r="K70" i="1"/>
  <c r="I70" i="1"/>
  <c r="O69" i="1"/>
  <c r="N69" i="1"/>
  <c r="K69" i="1"/>
  <c r="I69" i="1"/>
  <c r="O68" i="1"/>
  <c r="N68" i="1"/>
  <c r="K68" i="1"/>
  <c r="I68" i="1"/>
  <c r="O67" i="1"/>
  <c r="N67" i="1"/>
  <c r="K67" i="1"/>
  <c r="I67" i="1"/>
  <c r="O66" i="1"/>
  <c r="N66" i="1"/>
  <c r="K66" i="1"/>
  <c r="I66" i="1"/>
  <c r="O65" i="1"/>
  <c r="N65" i="1"/>
  <c r="K65" i="1"/>
  <c r="I65" i="1"/>
  <c r="O64" i="1"/>
  <c r="N64" i="1"/>
  <c r="K64" i="1"/>
  <c r="I64" i="1"/>
  <c r="O63" i="1"/>
  <c r="N63" i="1"/>
  <c r="K63" i="1"/>
  <c r="I63" i="1"/>
  <c r="O62" i="1"/>
  <c r="N62" i="1"/>
  <c r="K62" i="1"/>
  <c r="I62" i="1"/>
  <c r="O61" i="1"/>
  <c r="N61" i="1"/>
  <c r="K61" i="1"/>
  <c r="I61" i="1"/>
  <c r="O60" i="1"/>
  <c r="N60" i="1"/>
  <c r="K60" i="1"/>
  <c r="I60" i="1"/>
  <c r="O59" i="1"/>
  <c r="N59" i="1"/>
  <c r="K59" i="1"/>
  <c r="I59" i="1"/>
  <c r="O58" i="1"/>
  <c r="N58" i="1"/>
  <c r="K58" i="1"/>
  <c r="I58" i="1"/>
  <c r="O57" i="1"/>
  <c r="N57" i="1"/>
  <c r="K57" i="1"/>
  <c r="I57" i="1"/>
  <c r="O56" i="1"/>
  <c r="N56" i="1"/>
  <c r="K56" i="1"/>
  <c r="I56" i="1"/>
  <c r="O55" i="1"/>
  <c r="N55" i="1"/>
  <c r="K55" i="1"/>
  <c r="I55" i="1"/>
  <c r="O54" i="1"/>
  <c r="N54" i="1"/>
  <c r="K54" i="1"/>
  <c r="I54" i="1"/>
  <c r="O53" i="1"/>
  <c r="N53" i="1"/>
  <c r="K53" i="1"/>
  <c r="I53" i="1"/>
  <c r="O52" i="1"/>
  <c r="N52" i="1"/>
  <c r="K52" i="1"/>
  <c r="I52" i="1"/>
  <c r="O51" i="1"/>
  <c r="N51" i="1"/>
  <c r="K51" i="1"/>
  <c r="I51" i="1"/>
  <c r="O50" i="1"/>
  <c r="N50" i="1"/>
  <c r="K50" i="1"/>
  <c r="I50" i="1"/>
  <c r="O49" i="1"/>
  <c r="N49" i="1"/>
  <c r="K49" i="1"/>
  <c r="I49" i="1"/>
  <c r="O48" i="1"/>
  <c r="N48" i="1"/>
  <c r="K48" i="1"/>
  <c r="I48" i="1"/>
  <c r="O47" i="1"/>
  <c r="N47" i="1"/>
  <c r="K47" i="1"/>
  <c r="I47" i="1"/>
  <c r="O46" i="1"/>
  <c r="N46" i="1"/>
  <c r="K46" i="1"/>
  <c r="I46" i="1"/>
  <c r="O45" i="1"/>
  <c r="N45" i="1"/>
  <c r="K45" i="1"/>
  <c r="I45" i="1"/>
  <c r="O44" i="1"/>
  <c r="N44" i="1"/>
  <c r="K44" i="1"/>
  <c r="I44" i="1"/>
  <c r="O43" i="1"/>
  <c r="N43" i="1"/>
  <c r="K43" i="1"/>
  <c r="I43" i="1"/>
  <c r="O42" i="1"/>
  <c r="N42" i="1"/>
  <c r="K42" i="1"/>
  <c r="I42" i="1"/>
  <c r="O41" i="1"/>
  <c r="N41" i="1"/>
  <c r="K41" i="1"/>
  <c r="I41" i="1"/>
  <c r="O40" i="1"/>
  <c r="N40" i="1"/>
  <c r="K40" i="1"/>
  <c r="I40" i="1"/>
  <c r="O39" i="1"/>
  <c r="N39" i="1"/>
  <c r="K39" i="1"/>
  <c r="I39" i="1"/>
  <c r="O38" i="1"/>
  <c r="N38" i="1"/>
  <c r="K38" i="1"/>
  <c r="I38" i="1"/>
  <c r="O37" i="1"/>
  <c r="N37" i="1"/>
  <c r="K37" i="1"/>
  <c r="I37" i="1"/>
  <c r="O36" i="1"/>
  <c r="N36" i="1"/>
  <c r="K36" i="1"/>
  <c r="I36" i="1"/>
  <c r="O35" i="1"/>
  <c r="N35" i="1"/>
  <c r="K35" i="1"/>
  <c r="I35" i="1"/>
  <c r="O34" i="1"/>
  <c r="N34" i="1"/>
  <c r="K34" i="1"/>
  <c r="I34" i="1"/>
  <c r="O33" i="1"/>
  <c r="N33" i="1"/>
  <c r="K33" i="1"/>
  <c r="I33" i="1"/>
  <c r="O32" i="1"/>
  <c r="N32" i="1"/>
  <c r="K32" i="1"/>
  <c r="I32" i="1"/>
  <c r="O31" i="1"/>
  <c r="N31" i="1"/>
  <c r="K31" i="1"/>
  <c r="I31" i="1"/>
  <c r="O30" i="1"/>
  <c r="N30" i="1"/>
  <c r="K30" i="1"/>
  <c r="I30" i="1"/>
  <c r="O29" i="1"/>
  <c r="N29" i="1"/>
  <c r="K29" i="1"/>
  <c r="I29" i="1"/>
  <c r="O28" i="1"/>
  <c r="N28" i="1"/>
  <c r="K28" i="1"/>
  <c r="I28" i="1"/>
  <c r="O27" i="1"/>
  <c r="N27" i="1"/>
  <c r="K27" i="1"/>
  <c r="I27" i="1"/>
  <c r="O26" i="1"/>
  <c r="N26" i="1"/>
  <c r="K26" i="1"/>
  <c r="I26" i="1"/>
  <c r="O25" i="1"/>
  <c r="N25" i="1"/>
  <c r="K25" i="1"/>
  <c r="I25" i="1"/>
  <c r="O24" i="1"/>
  <c r="N24" i="1"/>
  <c r="K24" i="1"/>
  <c r="I24" i="1"/>
  <c r="O23" i="1"/>
  <c r="N23" i="1"/>
  <c r="K23" i="1"/>
  <c r="I23" i="1"/>
  <c r="O22" i="1"/>
  <c r="N22" i="1"/>
  <c r="K22" i="1"/>
  <c r="I22" i="1"/>
  <c r="O21" i="1"/>
  <c r="N21" i="1"/>
  <c r="K21" i="1"/>
  <c r="I21" i="1"/>
  <c r="O20" i="1"/>
  <c r="N20" i="1"/>
  <c r="K20" i="1"/>
  <c r="I20" i="1"/>
  <c r="O19" i="1"/>
  <c r="N19" i="1"/>
  <c r="K19" i="1"/>
  <c r="I19" i="1"/>
  <c r="O18" i="1"/>
  <c r="N18" i="1"/>
  <c r="K18" i="1"/>
  <c r="I18" i="1"/>
  <c r="O17" i="1"/>
  <c r="N17" i="1"/>
  <c r="K17" i="1"/>
  <c r="I17" i="1"/>
  <c r="O16" i="1"/>
  <c r="N16" i="1"/>
  <c r="K16" i="1"/>
  <c r="I16" i="1"/>
  <c r="O15" i="1"/>
  <c r="N15" i="1"/>
  <c r="K15" i="1"/>
  <c r="I15" i="1"/>
  <c r="O14" i="1"/>
  <c r="N14" i="1"/>
  <c r="K14" i="1"/>
  <c r="I14" i="1"/>
  <c r="O13" i="1"/>
  <c r="N13" i="1"/>
  <c r="K13" i="1"/>
  <c r="I13" i="1"/>
  <c r="O12" i="1"/>
  <c r="N12" i="1"/>
  <c r="K12" i="1"/>
  <c r="I12" i="1"/>
  <c r="O11" i="1"/>
  <c r="N11" i="1"/>
  <c r="K11" i="1"/>
  <c r="I11" i="1"/>
  <c r="O10" i="1"/>
  <c r="N10" i="1"/>
  <c r="K10" i="1"/>
  <c r="I10" i="1"/>
  <c r="O9" i="1"/>
  <c r="N9" i="1"/>
  <c r="K9" i="1"/>
  <c r="I9" i="1"/>
  <c r="O8" i="1"/>
  <c r="N8" i="1"/>
  <c r="K8" i="1"/>
  <c r="I8" i="1"/>
  <c r="O7" i="1"/>
  <c r="N7" i="1"/>
  <c r="K7" i="1"/>
  <c r="I7" i="1"/>
  <c r="O6" i="1"/>
  <c r="N6" i="1"/>
  <c r="K6" i="1"/>
  <c r="I6" i="1"/>
  <c r="O5" i="1"/>
  <c r="N5" i="1"/>
  <c r="K5" i="1"/>
  <c r="I5" i="1"/>
  <c r="O4" i="1"/>
  <c r="N4" i="1"/>
  <c r="K4" i="1"/>
  <c r="I4" i="1"/>
  <c r="O3" i="1"/>
  <c r="N3" i="1"/>
  <c r="K3" i="1"/>
  <c r="I3" i="1"/>
  <c r="O2" i="1"/>
  <c r="N2" i="1"/>
  <c r="K2" i="1"/>
  <c r="I2" i="1"/>
</calcChain>
</file>

<file path=xl/sharedStrings.xml><?xml version="1.0" encoding="utf-8"?>
<sst xmlns="http://schemas.openxmlformats.org/spreadsheetml/2006/main" count="505" uniqueCount="204">
  <si>
    <t>Adresse</t>
  </si>
  <si>
    <t>ejendomnavn</t>
  </si>
  <si>
    <t>Ved os</t>
  </si>
  <si>
    <t>Tomgangsdato</t>
  </si>
  <si>
    <t>Status</t>
  </si>
  <si>
    <t>Værelser</t>
  </si>
  <si>
    <t>Råleje</t>
  </si>
  <si>
    <t>Aconto</t>
  </si>
  <si>
    <t>Månedlig leje</t>
  </si>
  <si>
    <t>kvm</t>
  </si>
  <si>
    <t>Kvm pris</t>
  </si>
  <si>
    <t>indflytningsdato</t>
  </si>
  <si>
    <t>Ny pris</t>
  </si>
  <si>
    <t>Ny kvm pris</t>
  </si>
  <si>
    <t>Forskel</t>
  </si>
  <si>
    <t>Hjemmeside</t>
  </si>
  <si>
    <t>bolig portalen</t>
  </si>
  <si>
    <t>Link/kommentar</t>
  </si>
  <si>
    <t>Fyensgade 54, 1. th.</t>
  </si>
  <si>
    <t>Fyensgade 46-56</t>
  </si>
  <si>
    <t>Opsagt</t>
  </si>
  <si>
    <t>Nye billeder</t>
  </si>
  <si>
    <t>Vesterbro 62, 4. th.</t>
  </si>
  <si>
    <t>Vesterbro 62</t>
  </si>
  <si>
    <t>nej</t>
  </si>
  <si>
    <t>Fyensgade 48, st. tv.</t>
  </si>
  <si>
    <t>Fyensgade 50, 2. th.</t>
  </si>
  <si>
    <t>Maren Turis Gade 1A, 3.</t>
  </si>
  <si>
    <t>Maren Turis Gade Bispensgade</t>
  </si>
  <si>
    <t>Hyggelig 3-værelses lejlighed med altan i Aalborg - 91 m² - 6.800 kr</t>
  </si>
  <si>
    <t>Vendelbogade 10, 3. th.</t>
  </si>
  <si>
    <t>Vendelbogade 10</t>
  </si>
  <si>
    <t>Klassisk 3-værelses med altan og opvaskemaskine – - 82 m² - 6.412 kr</t>
  </si>
  <si>
    <t>Vesterbro 62A, 2. lejl. 1.</t>
  </si>
  <si>
    <t>Vestebro 62A</t>
  </si>
  <si>
    <t>Boulevarden 19, 4. lej 4.</t>
  </si>
  <si>
    <t>Boulevarden 19 / Danmarksgade 24</t>
  </si>
  <si>
    <t>Boulevarden 19, 3. 4.</t>
  </si>
  <si>
    <t>Kastetvej 33, lejl. 17.</t>
  </si>
  <si>
    <t>Kastetvej 31-33</t>
  </si>
  <si>
    <t>Nej</t>
  </si>
  <si>
    <t>Stadardiseriet aconto</t>
  </si>
  <si>
    <t>Kastetvej 33, lejl. 9.</t>
  </si>
  <si>
    <t>Rantzausgade 34, 4. tv.</t>
  </si>
  <si>
    <t>Rantzausgade 34</t>
  </si>
  <si>
    <t>Er denne udlejet?</t>
  </si>
  <si>
    <t>Tomgang</t>
  </si>
  <si>
    <t>Danmarksgade 76, st. tv.</t>
  </si>
  <si>
    <t>Danmarksgade 76</t>
  </si>
  <si>
    <t>Vesterbro 62, 3. th.</t>
  </si>
  <si>
    <t>Danmarksgade 24, 4. th.</t>
  </si>
  <si>
    <t>Billig 2-værelses med eftertragtet placering i Dan - 58 m² - 4.695 kr</t>
  </si>
  <si>
    <t>Fyensgade 48, 3. tv.</t>
  </si>
  <si>
    <t>Markusgade 3, 2. th.</t>
  </si>
  <si>
    <t>Markusgade 3</t>
  </si>
  <si>
    <t>TOMGANG</t>
  </si>
  <si>
    <t>Dejlig 2-værelses lejlighed i Øgadekvarteret - 70 m² - 5.795 kr</t>
  </si>
  <si>
    <t>Vesterbro 13, 5. tv.</t>
  </si>
  <si>
    <t>Vesterbro 1-15</t>
  </si>
  <si>
    <t>Prisvenlig lejlighed med altan i centrum af Aalbor - 54 m² - 4.995 kr</t>
  </si>
  <si>
    <t>Vesterbro 5, st. th.</t>
  </si>
  <si>
    <t>Vesterbro 62A, 2. lejl. 4.</t>
  </si>
  <si>
    <t>Billeder?</t>
  </si>
  <si>
    <t>Grønnegangen 7, 2. th.</t>
  </si>
  <si>
    <t>Grønnegangen 7</t>
  </si>
  <si>
    <t>Christiansgade 8, st. tv.</t>
  </si>
  <si>
    <t>Prinsensgade Christiansgade</t>
  </si>
  <si>
    <t>Christiansgade 8, 1. th.</t>
  </si>
  <si>
    <t>Prinsensgade 44, 2. tv.</t>
  </si>
  <si>
    <t>Prinsensgade 44 / Grønnegangen 7A</t>
  </si>
  <si>
    <t>Vesterbro 62, 1. tv.</t>
  </si>
  <si>
    <t>Poul Paghs Gade 18, 4. tv.</t>
  </si>
  <si>
    <t>Poul Paghs Gade 18</t>
  </si>
  <si>
    <t>Vesterbro 56, 1. mf.</t>
  </si>
  <si>
    <t>Vesterbro 56-58</t>
  </si>
  <si>
    <t>Vesterbro 13, 4. th.</t>
  </si>
  <si>
    <t>Maren Turis Gade 1, 3. tv.</t>
  </si>
  <si>
    <t>Vesterbro 30, 3. tv.</t>
  </si>
  <si>
    <t>Vesterbro 28-30</t>
  </si>
  <si>
    <t>Vesterbro 115, 4. th.</t>
  </si>
  <si>
    <t>Vesterbro 115</t>
  </si>
  <si>
    <t>6495 (3. th) 7500 (2. th)</t>
  </si>
  <si>
    <t>Vesterbro 1, st. th.</t>
  </si>
  <si>
    <t>Fyensgade 56, st. tv.</t>
  </si>
  <si>
    <t>Stor 3-værelses lejlighed beliggende på Falstergad - 80 m² - 5.010 kr</t>
  </si>
  <si>
    <t>Vesterbro 1, 5. th.</t>
  </si>
  <si>
    <t>Vesterbro 15, 5. mf.</t>
  </si>
  <si>
    <t>Vesterbro 13, 3. tv.</t>
  </si>
  <si>
    <t>Ledig nu</t>
  </si>
  <si>
    <t>Fyensgade 50, 1. tv.</t>
  </si>
  <si>
    <t>Vendelbogade 12, 1. tv.</t>
  </si>
  <si>
    <t>Vendelbogade 12</t>
  </si>
  <si>
    <t>2 værelses lejlighed i Det Obelske Jubilæumskolleg - 83 m² - 4.700 kr</t>
  </si>
  <si>
    <t>Prinsensgade 42, 5. tv.</t>
  </si>
  <si>
    <t>Prinsensgade 42</t>
  </si>
  <si>
    <t>Vesterbro 42, 5. lejl. 3.</t>
  </si>
  <si>
    <t>Vesterbro 40-44</t>
  </si>
  <si>
    <t>Ny ved DM</t>
  </si>
  <si>
    <t>Vendsysselgade 10, 3. th.</t>
  </si>
  <si>
    <t>Vendsysselgade 10</t>
  </si>
  <si>
    <t>Ny ved os</t>
  </si>
  <si>
    <t>Dejlig 3-værelses lejlighed med udsigt til Østre A - 90 m² - 5.592 kr</t>
  </si>
  <si>
    <t>Prinsensgade 6, 2. th.</t>
  </si>
  <si>
    <t>Prinsensgade 6</t>
  </si>
  <si>
    <t>Lille Kongensgade 10, 2. lej 1.</t>
  </si>
  <si>
    <t>Lille Kongensgade 10</t>
  </si>
  <si>
    <t>Christiansgade 8, 2. tv.</t>
  </si>
  <si>
    <t>Christiansgade 8, st. tv., 9000 Aalborg | Din Mægler</t>
  </si>
  <si>
    <t>Vesterbro 7, 2. tv.</t>
  </si>
  <si>
    <t>Vesterbro 44, 3. tv.</t>
  </si>
  <si>
    <t>Dejlig 3-værelses lejlighed på Skipper Clements Ga - 86 m² - 6.531 kr</t>
  </si>
  <si>
    <t>Vesterbro 117, 1. th.</t>
  </si>
  <si>
    <t>Vesterbro 117</t>
  </si>
  <si>
    <t>STOR 3-VÆRELSES LEJLIGHED I HJERTET AF AALBORG C. - 95 m² - 6.692 kr</t>
  </si>
  <si>
    <t>Vesterbro 7, 2. th.</t>
  </si>
  <si>
    <t>Vesterbro 7, 1. th.</t>
  </si>
  <si>
    <t>Vesterbro 32, 2. th.</t>
  </si>
  <si>
    <t>Vesterbro 32 - Prins</t>
  </si>
  <si>
    <t>Aconto til 800 ?</t>
  </si>
  <si>
    <t>Hasserisgade 4, 2. tv.</t>
  </si>
  <si>
    <t>Hasserisgade 4</t>
  </si>
  <si>
    <t>Vesterbro 7, 4. th.</t>
  </si>
  <si>
    <t>Danmarksgade 78, 2. th.</t>
  </si>
  <si>
    <t>Danmarksgade 78</t>
  </si>
  <si>
    <t>Dejlig lys 4. vær. lejl. i Søndergade, Aalborg - 95 m² - 6.800 kr</t>
  </si>
  <si>
    <t>Vesterbro 3, 2. tv.</t>
  </si>
  <si>
    <t>Vesterbro 11, 2. th.</t>
  </si>
  <si>
    <t>Helgolandsgade 1, st. tv.</t>
  </si>
  <si>
    <t>Helgolandsg - Absalonsg</t>
  </si>
  <si>
    <t>Lys og rummelig 3 (4) værelses på 96 m2 med altan - 96 m² - 7.640 kr</t>
  </si>
  <si>
    <t>Vesterbro 56, 1. th.</t>
  </si>
  <si>
    <t>Vesterbro 5, 3. tv.</t>
  </si>
  <si>
    <t>Boulevarden 38, 4. tv.</t>
  </si>
  <si>
    <t>Boulevarden 38</t>
  </si>
  <si>
    <t>Vil du gerne bo midt på Boulevarden? Så er lejligh - 108 m² - 7.495 kr</t>
  </si>
  <si>
    <t>Frederikstorv 1, 4. th.</t>
  </si>
  <si>
    <t>Frederikstorv 1 / Danmarksgade 72</t>
  </si>
  <si>
    <t>Ny er ved os</t>
  </si>
  <si>
    <t>Vesterbro 15, 5. tv.</t>
  </si>
  <si>
    <t>ledig nu</t>
  </si>
  <si>
    <t>Danmarksgade 74, 2. th.</t>
  </si>
  <si>
    <t>Danmarksgade 74</t>
  </si>
  <si>
    <t>Vesterbro 7, st. mf.</t>
  </si>
  <si>
    <t>Poul Paghs Gade 18, 4. th.</t>
  </si>
  <si>
    <t xml:space="preserve"> https://www.boligportal.dk/lejligheder/aalborg/90m2-4-vaer-id-4202256</t>
  </si>
  <si>
    <t>Vesterbro 15, 1. mf.</t>
  </si>
  <si>
    <t>Prinsensgade 35, 1. tv.</t>
  </si>
  <si>
    <t>Prinsensgade 35-37</t>
  </si>
  <si>
    <t>4 vær. - med udsigt - 109 m² - 8.600 kr</t>
  </si>
  <si>
    <t>Vesterbro 1, 1. tv.</t>
  </si>
  <si>
    <t>Borgergade 22, 4. tv.</t>
  </si>
  <si>
    <t>Borgergade 22</t>
  </si>
  <si>
    <t>Udlejet</t>
  </si>
  <si>
    <t>Vesterbro 13, 1. tv.</t>
  </si>
  <si>
    <t>Vesterbro 5, 2. tv.</t>
  </si>
  <si>
    <t>Fyensgade 52, st. th.</t>
  </si>
  <si>
    <t>Schleppegrellsgade 72, 2. tv.</t>
  </si>
  <si>
    <t>Schleppegrellsgade 72</t>
  </si>
  <si>
    <t>Danmarksgade 72, 3.</t>
  </si>
  <si>
    <t>Lille Kongensgade 10, 3. lej 3.</t>
  </si>
  <si>
    <t>Vesterbro 9, 2. tv.</t>
  </si>
  <si>
    <t>Vesterbro 11, 4. tv.</t>
  </si>
  <si>
    <t>Danmarksgade 24, 3. tv.</t>
  </si>
  <si>
    <t>Vesterbro 32, 2. tv.</t>
  </si>
  <si>
    <t>Vesterbro 62A, 2. lejl. 3.</t>
  </si>
  <si>
    <t>Vendelbogade 12, 2. tv.</t>
  </si>
  <si>
    <t>Vesterbro 115, 2. tv.</t>
  </si>
  <si>
    <t>Vesterbro 32, st. th.</t>
  </si>
  <si>
    <t>Markusgade 3, kld. th.</t>
  </si>
  <si>
    <t>Vesterbro 60, 5. th.</t>
  </si>
  <si>
    <t>Vesterbro 60</t>
  </si>
  <si>
    <t>Vesterbro 117, st. th.</t>
  </si>
  <si>
    <t>Prinsensgade 45, 2. tv.</t>
  </si>
  <si>
    <t>Boulevarden 38, 1. th.</t>
  </si>
  <si>
    <t>Vesterbro 9, 1. tv.</t>
  </si>
  <si>
    <t>Poul Paghs Gade 18, 3. tv.</t>
  </si>
  <si>
    <t>Borgergade 22, 4. th.</t>
  </si>
  <si>
    <t>Grønnegangen 7, 3. th.</t>
  </si>
  <si>
    <t>Vesterbro 115, 1. tv.</t>
  </si>
  <si>
    <t>Prinsensgade 37, 2. th.</t>
  </si>
  <si>
    <t>Prinsensgade 6, kld.</t>
  </si>
  <si>
    <t>Vesterbro 15, 1. tv.</t>
  </si>
  <si>
    <t>Prinsensgade 42, st. th.</t>
  </si>
  <si>
    <t>Vesterbro 13, 4. tv.</t>
  </si>
  <si>
    <t>Vesterbro 60, 2. th.</t>
  </si>
  <si>
    <t>Vesterbro 62, 4. tv.</t>
  </si>
  <si>
    <t>Vesterbro 60, 4. tv.</t>
  </si>
  <si>
    <t>Prinsensgade 6, 3. th.</t>
  </si>
  <si>
    <t>Vesterbro 115, 4. tv.</t>
  </si>
  <si>
    <t>Vesterbro 62, 4. mf.</t>
  </si>
  <si>
    <t>Vesterbro  32, 1. th.</t>
  </si>
  <si>
    <t>Frederikstorv 1, st. tv.</t>
  </si>
  <si>
    <t>Prinsensgade 44, 5. tv.</t>
  </si>
  <si>
    <t>Frederikstorv 1, st. th.</t>
  </si>
  <si>
    <t>Prinsensgade 42, 3. th.</t>
  </si>
  <si>
    <t>Prinsensgade  6, 1. th.</t>
  </si>
  <si>
    <t>Vesterbro  17, 3. th.</t>
  </si>
  <si>
    <t>Vesterbro 17</t>
  </si>
  <si>
    <t>Boulevarden 38, 4. th.</t>
  </si>
  <si>
    <t>Vesterbro 1, 4. mf.</t>
  </si>
  <si>
    <t>Boulevarden 19, 3. lej 3.</t>
  </si>
  <si>
    <t>Boulevarden 19, 3. lej 2.</t>
  </si>
  <si>
    <t>Vesterbro  17, 4. th.</t>
  </si>
  <si>
    <t>Borgergade 22, 2. 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</si>
</sst>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MS Sans Serif"/>
    </font>
    <font>
      <sz val="10"/>
      <color theme="1"/>
      <name val="MS Sans Serif"/>
    </font>
    <font>
      <sz val="10"/>
      <color rgb="FF333333"/>
      <name val="MS Sans Serif"/>
    </font>
    <font>
      <sz val="10"/>
      <name val="MS Sans Serif"/>
    </font>
    <font>
      <sz val="10"/>
      <color theme="1" tint="4.9989318521683403E-2"/>
      <name val="MS Sans Serif"/>
    </font>
    <font>
      <u/>
      <sz val="10"/>
      <color theme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14" fontId="3" fillId="0" borderId="0" xfId="0" applyNumberFormat="1" applyFont="1" applyAlignment="1">
      <alignment vertical="top"/>
    </xf>
    <xf numFmtId="3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" fontId="6" fillId="0" borderId="0" xfId="0" applyNumberFormat="1" applyFont="1" applyAlignment="1">
      <alignment vertical="top"/>
    </xf>
    <xf numFmtId="14" fontId="3" fillId="0" borderId="0" xfId="0" applyNumberFormat="1" applyFont="1" applyAlignment="1">
      <alignment horizontal="right" vertical="top"/>
    </xf>
    <xf numFmtId="3" fontId="3" fillId="0" borderId="0" xfId="0" applyNumberFormat="1" applyFont="1" applyAlignment="1">
      <alignment vertical="top"/>
    </xf>
    <xf numFmtId="3" fontId="5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0" fontId="7" fillId="0" borderId="0" xfId="2" applyFont="1" applyFill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</cellXfs>
  <cellStyles count="3">
    <cellStyle name="Hyperlink" xfId="2" xr:uid="{62F4D5EE-3E6C-46C0-A54A-D6A97BB531BE}"/>
    <cellStyle name="Link" xfId="1" builtinId="8"/>
    <cellStyle name="Normal" xfId="0" builtinId="0"/>
  </cellStyles>
  <dxfs count="36">
    <dxf>
      <font>
        <strike val="0"/>
        <outline val="0"/>
        <shadow val="0"/>
        <u val="none"/>
        <vertAlign val="baseline"/>
        <sz val="10"/>
        <name val="MS Sans Serif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strike val="0"/>
        <outline val="0"/>
        <shadow val="0"/>
        <vertAlign val="baseline"/>
        <sz val="10"/>
        <name val="MS Sans Serif"/>
        <scheme val="none"/>
      </font>
      <numFmt numFmtId="3" formatCode="#,##0"/>
      <fill>
        <patternFill patternType="none">
          <fgColor indexed="64"/>
          <bgColor indexed="65"/>
        </patternFill>
      </fill>
      <alignment vertical="top" textRotation="0" indent="0" justifyLastLine="0" shrinkToFit="0" readingOrder="0"/>
    </dxf>
    <dxf>
      <font>
        <strike val="0"/>
        <outline val="0"/>
        <shadow val="0"/>
        <vertAlign val="baseline"/>
        <sz val="10"/>
        <name val="MS Sans Serif"/>
        <scheme val="none"/>
      </font>
      <numFmt numFmtId="3" formatCode="#,##0"/>
      <fill>
        <patternFill patternType="none">
          <fgColor indexed="64"/>
          <bgColor indexed="65"/>
        </patternFill>
      </fill>
      <alignment vertical="top" textRotation="0" indent="0" justifyLastLine="0" shrinkToFit="0" readingOrder="0"/>
    </dxf>
    <dxf>
      <font>
        <strike val="0"/>
        <outline val="0"/>
        <shadow val="0"/>
        <vertAlign val="baseline"/>
        <sz val="10"/>
        <name val="MS Sans Serif"/>
        <scheme val="none"/>
      </font>
      <numFmt numFmtId="3" formatCode="#,##0"/>
      <fill>
        <patternFill patternType="none">
          <bgColor auto="1"/>
        </patternFill>
      </fill>
      <alignment vertical="top" textRotation="0" indent="0" justifyLastLine="0" shrinkToFit="0" readingOrder="0"/>
    </dxf>
    <dxf>
      <font>
        <strike val="0"/>
        <outline val="0"/>
        <shadow val="0"/>
        <vertAlign val="baseline"/>
        <sz val="10"/>
        <name val="MS Sans Serif"/>
        <scheme val="none"/>
      </font>
      <numFmt numFmtId="3" formatCode="#,##0"/>
      <fill>
        <patternFill patternType="none">
          <bgColor auto="1"/>
        </patternFill>
      </fill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S Sans Serif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S Sans Serif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MS Sans Serif"/>
        <scheme val="none"/>
      </font>
      <numFmt numFmtId="1" formatCode="0"/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S Sans Serif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  <numFmt numFmtId="0" formatCode="General"/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S Sans Serif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S Sans Serif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S Sans Serif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S Sans Serif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strike val="0"/>
        <outline val="0"/>
        <shadow val="0"/>
        <vertAlign val="baseline"/>
        <sz val="10"/>
        <name val="MS Sans Serif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MS Sans Serif"/>
        <scheme val="none"/>
      </font>
      <fill>
        <patternFill patternType="none">
          <bgColor auto="1"/>
        </patternFill>
      </fill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S Sans Serif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S Sans Serif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bgColor auto="1"/>
        </patternFill>
      </fill>
      <alignment vertical="top" textRotation="0" indent="0" justifyLastLine="0" shrinkToFit="0" readingOrder="0"/>
    </dxf>
    <dxf>
      <fill>
        <patternFill>
          <bgColor rgb="FF8DFB97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8BD3B2"/>
        </patternFill>
      </fill>
    </dxf>
    <dxf>
      <fill>
        <patternFill patternType="solid">
          <fgColor auto="1"/>
          <bgColor rgb="FFF07676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8BD3B2"/>
        </patternFill>
      </fill>
    </dxf>
    <dxf>
      <fill>
        <patternFill patternType="solid">
          <fgColor auto="1"/>
          <bgColor rgb="FFF07676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F23C72-D9D7-4351-9214-3DF5EEA27F03}" name="Tabel4" displayName="Tabel4" ref="A1:R116" totalsRowShown="0" headerRowDxfId="19" dataDxfId="18">
  <autoFilter ref="A1:R116" xr:uid="{DCF23C72-D9D7-4351-9214-3DF5EEA27F03}"/>
  <sortState xmlns:xlrd2="http://schemas.microsoft.com/office/spreadsheetml/2017/richdata2" ref="A2:R116">
    <sortCondition ref="D1:D116"/>
  </sortState>
  <tableColumns count="18">
    <tableColumn id="1" xr3:uid="{91BB4698-C42F-4935-AC19-84E26A43624C}" name="Adresse" dataDxfId="17"/>
    <tableColumn id="16" xr3:uid="{D4476A72-9180-46E9-8156-41104E32B50B}" name="ejendomnavn" dataDxfId="16"/>
    <tableColumn id="14" xr3:uid="{1F2ED5C8-9BD1-4731-811F-4F19D991ACC0}" name="Ved os" dataDxfId="15"/>
    <tableColumn id="12" xr3:uid="{1B0D95A4-7050-4330-9999-124DA10438C2}" name="Tomgangsdato" dataDxfId="14"/>
    <tableColumn id="2" xr3:uid="{4C659758-595A-4F8C-93A0-9BB348EF130C}" name="Status" dataDxfId="13"/>
    <tableColumn id="3" xr3:uid="{C069E527-8CE0-4075-BF2A-9563FC5EEBA8}" name="Værelser" dataDxfId="12"/>
    <tableColumn id="4" xr3:uid="{94E17FA7-2095-4955-8F21-F00859530927}" name="Råleje" dataDxfId="11"/>
    <tableColumn id="5" xr3:uid="{26613494-3B80-4300-9138-4FB21005705F}" name="Aconto" dataDxfId="10"/>
    <tableColumn id="6" xr3:uid="{299F8357-856B-40D6-B969-9D28DF76E55E}" name="Månedlig leje" dataDxfId="9">
      <calculatedColumnFormula>Tabel4[[#This Row],[Aconto]]+Tabel4[[#This Row],[Råleje]]</calculatedColumnFormula>
    </tableColumn>
    <tableColumn id="7" xr3:uid="{D934AC11-8AB4-44BA-8E63-37450399FDFC}" name="kvm" dataDxfId="8"/>
    <tableColumn id="8" xr3:uid="{7005D918-E5EF-4ADD-848B-958BF86D899C}" name="Kvm pris" dataDxfId="7">
      <calculatedColumnFormula>(Tabel4[[#This Row],[Råleje]]*12)/Tabel4[[#This Row],[kvm]]</calculatedColumnFormula>
    </tableColumn>
    <tableColumn id="9" xr3:uid="{4B5499E6-0CA5-4490-A22C-D490303B01CC}" name="indflytningsdato" dataDxfId="6"/>
    <tableColumn id="10" xr3:uid="{5C264309-34C1-4FC3-8EAD-BD349E14D0D9}" name="Ny pris" dataDxfId="5"/>
    <tableColumn id="15" xr3:uid="{66CFAC1C-41F7-4254-B2CF-651506C29054}" name="Ny kvm pris" dataDxfId="4">
      <calculatedColumnFormula>(Tabel4[[#This Row],[Ny pris]]*12)/Tabel4[[#This Row],[kvm]]</calculatedColumnFormula>
    </tableColumn>
    <tableColumn id="13" xr3:uid="{7F3FC616-6116-4B1C-990E-5B5E4398C2F7}" name="Forskel" dataDxfId="3">
      <calculatedColumnFormula>Tabel4[[#This Row],[Ny pris]]-Tabel4[[#This Row],[Råleje]]</calculatedColumnFormula>
    </tableColumn>
    <tableColumn id="18" xr3:uid="{8ECDE06B-5AAF-4E4D-983D-20472CCAD8CE}" name="Hjemmeside" dataDxfId="2"/>
    <tableColumn id="17" xr3:uid="{6543AEFE-D18A-4420-A1D6-5AC8AE974CF7}" name="bolig portalen" dataDxfId="1"/>
    <tableColumn id="11" xr3:uid="{A2BDA8D4-8B83-49E0-AEDE-C75CC6679E66}" name="Link/komment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ligportal.dk/lejligheder/aalborg/83m2-2-vaer-id-5534665" TargetMode="External"/><Relationship Id="rId13" Type="http://schemas.openxmlformats.org/officeDocument/2006/relationships/hyperlink" Target="https://dmbolig.dk/bolig/36630001679/christiansgade-8-st.-tv.-9000-aalborg/" TargetMode="External"/><Relationship Id="rId3" Type="http://schemas.openxmlformats.org/officeDocument/2006/relationships/hyperlink" Target="https://www.boligportal.dk/lejligheder/aalborg/108m2-4-vaer-id-5186783" TargetMode="External"/><Relationship Id="rId7" Type="http://schemas.openxmlformats.org/officeDocument/2006/relationships/hyperlink" Target="https://www.boligportal.dk/lejligheder/aalborg/95m2-4-vaer-id-3696841" TargetMode="External"/><Relationship Id="rId12" Type="http://schemas.openxmlformats.org/officeDocument/2006/relationships/hyperlink" Target="https://www.boligportal.dk/lejligheder/aalborg/86m2-3-vaer-id-5348704" TargetMode="External"/><Relationship Id="rId2" Type="http://schemas.openxmlformats.org/officeDocument/2006/relationships/hyperlink" Target="https://www.boligportal.dk/lejligheder/aalborg/91m2-3-vaer-id-5540282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s://www.boligportal.dk/lejligheder/aalborg/54m2-1-vaer-id-4684172" TargetMode="External"/><Relationship Id="rId6" Type="http://schemas.openxmlformats.org/officeDocument/2006/relationships/hyperlink" Target="https://www.boligportal.dk/lejligheder/aalborg/90m2-3-vaer-id-5269764" TargetMode="External"/><Relationship Id="rId11" Type="http://schemas.openxmlformats.org/officeDocument/2006/relationships/hyperlink" Target="https://www.boligportal.dk/lejligheder/aalborg/95m2-3-vaer-id-5226684" TargetMode="External"/><Relationship Id="rId5" Type="http://schemas.openxmlformats.org/officeDocument/2006/relationships/hyperlink" Target="https://www.boligportal.dk/lejligheder/aalborg/109m2-4-vaer-id-4850451" TargetMode="External"/><Relationship Id="rId15" Type="http://schemas.openxmlformats.org/officeDocument/2006/relationships/hyperlink" Target="https://www.boligportal.dk/lejligheder/aalborg/80m2-3-vaer-id-5264529" TargetMode="External"/><Relationship Id="rId10" Type="http://schemas.openxmlformats.org/officeDocument/2006/relationships/hyperlink" Target="https://www.boligportal.dk/lejligheder/aalborg/70m2-2-vaer-id-5499703" TargetMode="External"/><Relationship Id="rId4" Type="http://schemas.openxmlformats.org/officeDocument/2006/relationships/hyperlink" Target="https://www.boligportal.dk/lejligheder/aalborg/82m2-3-vaer-id-5548371" TargetMode="External"/><Relationship Id="rId9" Type="http://schemas.openxmlformats.org/officeDocument/2006/relationships/hyperlink" Target="https://www.boligportal.dk/lejligheder/aalborg/58m2-2-vaer-id-4857420" TargetMode="External"/><Relationship Id="rId14" Type="http://schemas.openxmlformats.org/officeDocument/2006/relationships/hyperlink" Target="https://www.boligportal.dk/lejligheder/aalborg/96m2-3-vaer-id-55484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56A9-6B93-4991-A52C-EB77A444C4A3}">
  <dimension ref="A1:R116"/>
  <sheetViews>
    <sheetView tabSelected="1" topLeftCell="A16" zoomScale="80" zoomScaleNormal="80" workbookViewId="0">
      <selection activeCell="A68" sqref="A68"/>
    </sheetView>
  </sheetViews>
  <sheetFormatPr defaultRowHeight="15"/>
  <cols>
    <col min="1" max="1" width="30.85546875" customWidth="1"/>
    <col min="2" max="4" width="36.85546875" customWidth="1"/>
    <col min="5" max="5" width="18.7109375" customWidth="1"/>
    <col min="6" max="6" width="11.42578125" customWidth="1"/>
    <col min="8" max="8" width="9.42578125" customWidth="1"/>
    <col min="9" max="9" width="15.140625" customWidth="1"/>
    <col min="11" max="11" width="20.5703125" customWidth="1"/>
    <col min="12" max="13" width="21.42578125" bestFit="1" customWidth="1"/>
    <col min="14" max="17" width="16" customWidth="1"/>
    <col min="18" max="18" width="55" bestFit="1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 s="1" t="s">
        <v>18</v>
      </c>
      <c r="B2" s="5" t="s">
        <v>19</v>
      </c>
      <c r="C2" s="5"/>
      <c r="D2" s="6">
        <v>45945</v>
      </c>
      <c r="E2" s="1" t="s">
        <v>20</v>
      </c>
      <c r="F2" s="5">
        <v>2</v>
      </c>
      <c r="G2" s="7">
        <v>5095</v>
      </c>
      <c r="H2" s="5">
        <v>550</v>
      </c>
      <c r="I2" s="8">
        <f>Tabel4[[#This Row],[Aconto]]+Tabel4[[#This Row],[Råleje]]</f>
        <v>5645</v>
      </c>
      <c r="J2" s="5">
        <v>59</v>
      </c>
      <c r="K2" s="9">
        <f>(Tabel4[[#This Row],[Råleje]]*12)/Tabel4[[#This Row],[kvm]]</f>
        <v>1036.2711864406779</v>
      </c>
      <c r="L2" s="10">
        <v>45992</v>
      </c>
      <c r="M2" s="5">
        <v>4995</v>
      </c>
      <c r="N2" s="11">
        <f>(Tabel4[[#This Row],[Ny pris]]*12)/Tabel4[[#This Row],[kvm]]</f>
        <v>1015.9322033898305</v>
      </c>
      <c r="O2" s="11">
        <f>Tabel4[[#This Row],[Ny pris]]-Tabel4[[#This Row],[Råleje]]</f>
        <v>-100</v>
      </c>
      <c r="P2" s="11"/>
      <c r="Q2" s="11"/>
      <c r="R2" s="5" t="s">
        <v>21</v>
      </c>
    </row>
    <row r="3" spans="1:18">
      <c r="A3" s="1" t="s">
        <v>22</v>
      </c>
      <c r="B3" s="5" t="s">
        <v>23</v>
      </c>
      <c r="C3" s="5"/>
      <c r="D3" s="10">
        <v>45945</v>
      </c>
      <c r="E3" s="1" t="s">
        <v>20</v>
      </c>
      <c r="F3" s="5"/>
      <c r="G3" s="5">
        <v>5795</v>
      </c>
      <c r="H3" s="5">
        <v>1100</v>
      </c>
      <c r="I3" s="8">
        <f>Tabel4[[#This Row],[Aconto]]+Tabel4[[#This Row],[Råleje]]</f>
        <v>6895</v>
      </c>
      <c r="J3" s="5">
        <v>73</v>
      </c>
      <c r="K3" s="9">
        <f>(Tabel4[[#This Row],[Råleje]]*12)/Tabel4[[#This Row],[kvm]]</f>
        <v>952.60273972602738</v>
      </c>
      <c r="L3" s="10">
        <v>45778</v>
      </c>
      <c r="M3" s="5"/>
      <c r="N3" s="11">
        <f>(Tabel4[[#This Row],[Ny pris]]*12)/Tabel4[[#This Row],[kvm]]</f>
        <v>0</v>
      </c>
      <c r="O3" s="11">
        <f>Tabel4[[#This Row],[Ny pris]]-Tabel4[[#This Row],[Råleje]]</f>
        <v>-5795</v>
      </c>
      <c r="P3" s="11" t="s">
        <v>24</v>
      </c>
      <c r="Q3" s="11"/>
      <c r="R3" s="5"/>
    </row>
    <row r="4" spans="1:18">
      <c r="A4" s="1" t="s">
        <v>25</v>
      </c>
      <c r="B4" s="5" t="s">
        <v>19</v>
      </c>
      <c r="C4" s="5"/>
      <c r="D4" s="10">
        <v>45962</v>
      </c>
      <c r="E4" s="1" t="s">
        <v>20</v>
      </c>
      <c r="F4" s="8">
        <v>2</v>
      </c>
      <c r="G4" s="12">
        <v>5895</v>
      </c>
      <c r="H4" s="8">
        <v>600</v>
      </c>
      <c r="I4" s="8">
        <f>Tabel4[[#This Row],[Aconto]]+Tabel4[[#This Row],[Råleje]]</f>
        <v>6495</v>
      </c>
      <c r="J4" s="8">
        <v>58</v>
      </c>
      <c r="K4" s="9">
        <f>(Tabel4[[#This Row],[Råleje]]*12)/Tabel4[[#This Row],[kvm]]</f>
        <v>1219.655172413793</v>
      </c>
      <c r="L4" s="10">
        <v>45962</v>
      </c>
      <c r="M4" s="5">
        <v>5695</v>
      </c>
      <c r="N4" s="11">
        <f>(Tabel4[[#This Row],[Ny pris]]*12)/Tabel4[[#This Row],[kvm]]</f>
        <v>1178.2758620689656</v>
      </c>
      <c r="O4" s="11">
        <f>Tabel4[[#This Row],[Ny pris]]-Tabel4[[#This Row],[Råleje]]</f>
        <v>-200</v>
      </c>
      <c r="P4" s="11"/>
      <c r="Q4" s="11"/>
      <c r="R4" s="5"/>
    </row>
    <row r="5" spans="1:18">
      <c r="A5" s="1" t="s">
        <v>26</v>
      </c>
      <c r="B5" s="5" t="s">
        <v>19</v>
      </c>
      <c r="C5" s="5"/>
      <c r="D5" s="10">
        <v>45962</v>
      </c>
      <c r="E5" s="1" t="s">
        <v>20</v>
      </c>
      <c r="F5" s="5"/>
      <c r="G5" s="5">
        <v>5995</v>
      </c>
      <c r="H5" s="5">
        <v>750</v>
      </c>
      <c r="I5" s="8">
        <f>Tabel4[[#This Row],[Aconto]]+Tabel4[[#This Row],[Råleje]]</f>
        <v>6745</v>
      </c>
      <c r="J5" s="5">
        <v>59</v>
      </c>
      <c r="K5" s="9">
        <f>(Tabel4[[#This Row],[Råleje]]*12)/Tabel4[[#This Row],[kvm]]</f>
        <v>1219.3220338983051</v>
      </c>
      <c r="L5" s="10">
        <v>45962</v>
      </c>
      <c r="M5" s="5"/>
      <c r="N5" s="11">
        <f>(Tabel4[[#This Row],[Ny pris]]*12)/Tabel4[[#This Row],[kvm]]</f>
        <v>0</v>
      </c>
      <c r="O5" s="11">
        <f>Tabel4[[#This Row],[Ny pris]]-Tabel4[[#This Row],[Råleje]]</f>
        <v>-5995</v>
      </c>
      <c r="P5" s="11" t="s">
        <v>24</v>
      </c>
      <c r="Q5" s="11"/>
      <c r="R5" s="5"/>
    </row>
    <row r="6" spans="1:18">
      <c r="A6" s="1" t="s">
        <v>27</v>
      </c>
      <c r="B6" s="5" t="s">
        <v>28</v>
      </c>
      <c r="C6" s="5"/>
      <c r="D6" s="6">
        <v>45962</v>
      </c>
      <c r="E6" s="1" t="s">
        <v>20</v>
      </c>
      <c r="F6" s="5">
        <v>3</v>
      </c>
      <c r="G6" s="5">
        <v>7195</v>
      </c>
      <c r="H6" s="5">
        <v>800</v>
      </c>
      <c r="I6" s="8">
        <f>Tabel4[[#This Row],[Aconto]]+Tabel4[[#This Row],[Råleje]]</f>
        <v>7995</v>
      </c>
      <c r="J6" s="5">
        <v>90</v>
      </c>
      <c r="K6" s="9">
        <f>(Tabel4[[#This Row],[Råleje]]*12)/Tabel4[[#This Row],[kvm]]</f>
        <v>959.33333333333337</v>
      </c>
      <c r="L6" s="10">
        <v>45992</v>
      </c>
      <c r="M6" s="5">
        <v>6450</v>
      </c>
      <c r="N6" s="11">
        <f>(Tabel4[[#This Row],[Ny pris]]*12)/Tabel4[[#This Row],[kvm]]</f>
        <v>860</v>
      </c>
      <c r="O6" s="11">
        <f>Tabel4[[#This Row],[Ny pris]]-Tabel4[[#This Row],[Råleje]]</f>
        <v>-745</v>
      </c>
      <c r="P6" s="11"/>
      <c r="Q6" s="11"/>
      <c r="R6" s="13" t="s">
        <v>29</v>
      </c>
    </row>
    <row r="7" spans="1:18">
      <c r="A7" s="1" t="s">
        <v>30</v>
      </c>
      <c r="B7" s="5" t="s">
        <v>31</v>
      </c>
      <c r="C7" s="5"/>
      <c r="D7" s="6">
        <v>45962</v>
      </c>
      <c r="E7" s="1" t="s">
        <v>20</v>
      </c>
      <c r="F7" s="5">
        <v>3</v>
      </c>
      <c r="G7" s="5">
        <v>7495</v>
      </c>
      <c r="H7" s="5">
        <v>700</v>
      </c>
      <c r="I7" s="8">
        <f>Tabel4[[#This Row],[Aconto]]+Tabel4[[#This Row],[Råleje]]</f>
        <v>8195</v>
      </c>
      <c r="J7" s="5">
        <v>71</v>
      </c>
      <c r="K7" s="9">
        <f>(Tabel4[[#This Row],[Råleje]]*12)/Tabel4[[#This Row],[kvm]]</f>
        <v>1266.7605633802816</v>
      </c>
      <c r="L7" s="10">
        <v>45962</v>
      </c>
      <c r="M7" s="5">
        <v>6995</v>
      </c>
      <c r="N7" s="11">
        <f>(Tabel4[[#This Row],[Ny pris]]*12)/Tabel4[[#This Row],[kvm]]</f>
        <v>1182.2535211267605</v>
      </c>
      <c r="O7" s="11">
        <f>Tabel4[[#This Row],[Ny pris]]-Tabel4[[#This Row],[Råleje]]</f>
        <v>-500</v>
      </c>
      <c r="P7" s="11"/>
      <c r="Q7" s="11"/>
      <c r="R7" s="13" t="s">
        <v>32</v>
      </c>
    </row>
    <row r="8" spans="1:18">
      <c r="A8" s="1" t="s">
        <v>33</v>
      </c>
      <c r="B8" s="5" t="s">
        <v>34</v>
      </c>
      <c r="C8" s="5"/>
      <c r="D8" s="10">
        <v>45992</v>
      </c>
      <c r="E8" s="1" t="s">
        <v>20</v>
      </c>
      <c r="F8" s="8">
        <v>2</v>
      </c>
      <c r="G8" s="8">
        <v>5995</v>
      </c>
      <c r="H8" s="8">
        <v>800</v>
      </c>
      <c r="I8" s="8">
        <f>Tabel4[[#This Row],[Aconto]]+Tabel4[[#This Row],[Råleje]]</f>
        <v>6795</v>
      </c>
      <c r="J8" s="8">
        <v>72</v>
      </c>
      <c r="K8" s="9">
        <f>(Tabel4[[#This Row],[Råleje]]*12)/Tabel4[[#This Row],[kvm]]</f>
        <v>999.16666666666663</v>
      </c>
      <c r="L8" s="10">
        <v>45992</v>
      </c>
      <c r="M8" s="5">
        <v>5495</v>
      </c>
      <c r="N8" s="11">
        <f>(Tabel4[[#This Row],[Ny pris]]*12)/Tabel4[[#This Row],[kvm]]</f>
        <v>915.83333333333337</v>
      </c>
      <c r="O8" s="11">
        <f>Tabel4[[#This Row],[Ny pris]]-Tabel4[[#This Row],[Råleje]]</f>
        <v>-500</v>
      </c>
      <c r="P8" s="11"/>
      <c r="Q8" s="11"/>
      <c r="R8" s="5"/>
    </row>
    <row r="9" spans="1:18">
      <c r="A9" s="1" t="s">
        <v>35</v>
      </c>
      <c r="B9" s="5" t="s">
        <v>36</v>
      </c>
      <c r="C9" s="5"/>
      <c r="D9" s="6">
        <v>45992</v>
      </c>
      <c r="E9" s="1" t="s">
        <v>20</v>
      </c>
      <c r="F9" s="8">
        <v>2</v>
      </c>
      <c r="G9" s="12">
        <v>6695</v>
      </c>
      <c r="H9" s="8">
        <v>900</v>
      </c>
      <c r="I9" s="8">
        <f>Tabel4[[#This Row],[Aconto]]+Tabel4[[#This Row],[Råleje]]</f>
        <v>7595</v>
      </c>
      <c r="J9" s="8">
        <v>94</v>
      </c>
      <c r="K9" s="9">
        <f>(Tabel4[[#This Row],[Råleje]]*12)/Tabel4[[#This Row],[kvm]]</f>
        <v>854.68085106382978</v>
      </c>
      <c r="L9" s="10">
        <v>45992</v>
      </c>
      <c r="M9" s="11">
        <v>6295</v>
      </c>
      <c r="N9" s="11">
        <f>(Tabel4[[#This Row],[Ny pris]]*12)/Tabel4[[#This Row],[kvm]]</f>
        <v>803.61702127659578</v>
      </c>
      <c r="O9" s="11">
        <f>Tabel4[[#This Row],[Ny pris]]-Tabel4[[#This Row],[Råleje]]</f>
        <v>-400</v>
      </c>
      <c r="P9" s="11"/>
      <c r="Q9" s="11"/>
      <c r="R9" s="14" t="s">
        <v>37</v>
      </c>
    </row>
    <row r="10" spans="1:18">
      <c r="A10" s="1" t="s">
        <v>38</v>
      </c>
      <c r="B10" s="5" t="s">
        <v>39</v>
      </c>
      <c r="C10" s="5"/>
      <c r="D10" s="6">
        <v>45992</v>
      </c>
      <c r="E10" s="1" t="s">
        <v>20</v>
      </c>
      <c r="F10" s="5">
        <v>2</v>
      </c>
      <c r="G10" s="5">
        <v>8595</v>
      </c>
      <c r="H10" s="5">
        <v>1200</v>
      </c>
      <c r="I10" s="8">
        <f>Tabel4[[#This Row],[Aconto]]+Tabel4[[#This Row],[Råleje]]</f>
        <v>9795</v>
      </c>
      <c r="J10" s="5">
        <v>102</v>
      </c>
      <c r="K10" s="9">
        <f>(Tabel4[[#This Row],[Råleje]]*12)/Tabel4[[#This Row],[kvm]]</f>
        <v>1011.1764705882352</v>
      </c>
      <c r="L10" s="10">
        <v>45992</v>
      </c>
      <c r="M10" s="5">
        <v>7995</v>
      </c>
      <c r="N10" s="11">
        <f>(Tabel4[[#This Row],[Ny pris]]*12)/Tabel4[[#This Row],[kvm]]</f>
        <v>940.58823529411768</v>
      </c>
      <c r="O10" s="11">
        <f>Tabel4[[#This Row],[Ny pris]]-Tabel4[[#This Row],[Råleje]]</f>
        <v>-600</v>
      </c>
      <c r="P10" s="11"/>
      <c r="Q10" s="11" t="s">
        <v>40</v>
      </c>
      <c r="R10" s="5" t="s">
        <v>41</v>
      </c>
    </row>
    <row r="11" spans="1:18">
      <c r="A11" s="1" t="s">
        <v>42</v>
      </c>
      <c r="B11" s="5" t="s">
        <v>39</v>
      </c>
      <c r="C11" s="5"/>
      <c r="D11" s="6">
        <v>45992</v>
      </c>
      <c r="E11" s="1" t="s">
        <v>20</v>
      </c>
      <c r="F11" s="8">
        <v>2</v>
      </c>
      <c r="G11" s="8">
        <v>8995</v>
      </c>
      <c r="H11" s="8">
        <v>900</v>
      </c>
      <c r="I11" s="8">
        <f>Tabel4[[#This Row],[Aconto]]+Tabel4[[#This Row],[Råleje]]</f>
        <v>9895</v>
      </c>
      <c r="J11" s="8">
        <v>104</v>
      </c>
      <c r="K11" s="9">
        <f>(Tabel4[[#This Row],[Råleje]]*12)/Tabel4[[#This Row],[kvm]]</f>
        <v>1037.8846153846155</v>
      </c>
      <c r="L11" s="10">
        <v>45992</v>
      </c>
      <c r="M11" s="5">
        <v>7995</v>
      </c>
      <c r="N11" s="11">
        <f>(Tabel4[[#This Row],[Ny pris]]*12)/Tabel4[[#This Row],[kvm]]</f>
        <v>922.5</v>
      </c>
      <c r="O11" s="11">
        <f>Tabel4[[#This Row],[Ny pris]]-Tabel4[[#This Row],[Råleje]]</f>
        <v>-1000</v>
      </c>
      <c r="P11" s="11"/>
      <c r="Q11" s="11" t="s">
        <v>40</v>
      </c>
      <c r="R11" s="5"/>
    </row>
    <row r="12" spans="1:18">
      <c r="A12" s="1" t="s">
        <v>43</v>
      </c>
      <c r="B12" s="5" t="s">
        <v>44</v>
      </c>
      <c r="C12" s="5"/>
      <c r="D12" s="5" t="s">
        <v>45</v>
      </c>
      <c r="E12" s="1" t="s">
        <v>46</v>
      </c>
      <c r="F12" s="5">
        <v>2</v>
      </c>
      <c r="G12" s="5">
        <v>4395</v>
      </c>
      <c r="H12" s="5">
        <v>600</v>
      </c>
      <c r="I12" s="8">
        <f>Tabel4[[#This Row],[Aconto]]+Tabel4[[#This Row],[Råleje]]</f>
        <v>4995</v>
      </c>
      <c r="J12" s="5">
        <v>45</v>
      </c>
      <c r="K12" s="9">
        <f>(Tabel4[[#This Row],[Råleje]]*12)/Tabel4[[#This Row],[kvm]]</f>
        <v>1172</v>
      </c>
      <c r="L12" s="10">
        <v>45931</v>
      </c>
      <c r="M12" s="5">
        <v>4395</v>
      </c>
      <c r="N12" s="11">
        <f>(Tabel4[[#This Row],[Ny pris]]*12)/Tabel4[[#This Row],[kvm]]</f>
        <v>1172</v>
      </c>
      <c r="O12" s="11">
        <f>Tabel4[[#This Row],[Ny pris]]-Tabel4[[#This Row],[Råleje]]</f>
        <v>0</v>
      </c>
      <c r="P12" s="11"/>
      <c r="Q12" s="11"/>
      <c r="R12" s="5"/>
    </row>
    <row r="13" spans="1:18">
      <c r="A13" s="1" t="s">
        <v>47</v>
      </c>
      <c r="B13" s="5" t="s">
        <v>48</v>
      </c>
      <c r="C13" s="5"/>
      <c r="D13" s="5" t="s">
        <v>45</v>
      </c>
      <c r="E13" s="1" t="s">
        <v>46</v>
      </c>
      <c r="F13" s="8">
        <v>2</v>
      </c>
      <c r="G13" s="8">
        <v>4695</v>
      </c>
      <c r="H13" s="8">
        <v>500</v>
      </c>
      <c r="I13" s="8">
        <f>Tabel4[[#This Row],[Aconto]]+Tabel4[[#This Row],[Råleje]]</f>
        <v>5195</v>
      </c>
      <c r="J13" s="8">
        <v>58</v>
      </c>
      <c r="K13" s="9">
        <f>(Tabel4[[#This Row],[Råleje]]*12)/Tabel4[[#This Row],[kvm]]</f>
        <v>971.37931034482756</v>
      </c>
      <c r="L13" s="10">
        <v>45962</v>
      </c>
      <c r="M13" s="5">
        <v>5195</v>
      </c>
      <c r="N13" s="11">
        <f>(Tabel4[[#This Row],[Ny pris]]*12)/Tabel4[[#This Row],[kvm]]</f>
        <v>1074.8275862068965</v>
      </c>
      <c r="O13" s="11">
        <f>Tabel4[[#This Row],[Ny pris]]-Tabel4[[#This Row],[Råleje]]</f>
        <v>500</v>
      </c>
      <c r="P13" s="11"/>
      <c r="Q13" s="11"/>
      <c r="R13" s="5"/>
    </row>
    <row r="14" spans="1:18">
      <c r="A14" s="1" t="s">
        <v>49</v>
      </c>
      <c r="B14" s="5" t="s">
        <v>23</v>
      </c>
      <c r="C14" s="6">
        <v>45691</v>
      </c>
      <c r="D14" s="5" t="s">
        <v>45</v>
      </c>
      <c r="E14" s="1" t="s">
        <v>46</v>
      </c>
      <c r="F14" s="8">
        <v>2</v>
      </c>
      <c r="G14" s="8">
        <v>4995</v>
      </c>
      <c r="H14" s="8">
        <v>500</v>
      </c>
      <c r="I14" s="8">
        <f>Tabel4[[#This Row],[Aconto]]+Tabel4[[#This Row],[Råleje]]</f>
        <v>5495</v>
      </c>
      <c r="J14" s="8">
        <v>73</v>
      </c>
      <c r="K14" s="9">
        <f>(Tabel4[[#This Row],[Råleje]]*12)/Tabel4[[#This Row],[kvm]]</f>
        <v>821.09589041095887</v>
      </c>
      <c r="L14" s="10">
        <v>45992</v>
      </c>
      <c r="M14" s="8">
        <v>4995</v>
      </c>
      <c r="N14" s="11">
        <f>(Tabel4[[#This Row],[Ny pris]]*12)/Tabel4[[#This Row],[kvm]]</f>
        <v>821.09589041095887</v>
      </c>
      <c r="O14" s="11">
        <f>Tabel4[[#This Row],[Ny pris]]-Tabel4[[#This Row],[Råleje]]</f>
        <v>0</v>
      </c>
      <c r="P14" s="11"/>
      <c r="Q14" s="11"/>
      <c r="R14" s="5" t="s">
        <v>21</v>
      </c>
    </row>
    <row r="15" spans="1:18">
      <c r="A15" s="1" t="s">
        <v>50</v>
      </c>
      <c r="B15" s="5" t="s">
        <v>36</v>
      </c>
      <c r="C15" s="5"/>
      <c r="D15" s="5" t="s">
        <v>45</v>
      </c>
      <c r="E15" s="1" t="s">
        <v>46</v>
      </c>
      <c r="F15" s="5">
        <v>3</v>
      </c>
      <c r="G15" s="5">
        <v>4995</v>
      </c>
      <c r="H15" s="5">
        <v>600</v>
      </c>
      <c r="I15" s="8">
        <f>Tabel4[[#This Row],[Aconto]]+Tabel4[[#This Row],[Råleje]]</f>
        <v>5595</v>
      </c>
      <c r="J15" s="5">
        <v>59</v>
      </c>
      <c r="K15" s="9">
        <f>(Tabel4[[#This Row],[Råleje]]*12)/Tabel4[[#This Row],[kvm]]</f>
        <v>1015.9322033898305</v>
      </c>
      <c r="L15" s="10">
        <v>45931</v>
      </c>
      <c r="M15" s="5">
        <v>4500</v>
      </c>
      <c r="N15" s="11">
        <f>(Tabel4[[#This Row],[Ny pris]]*12)/Tabel4[[#This Row],[kvm]]</f>
        <v>915.25423728813564</v>
      </c>
      <c r="O15" s="11">
        <f>Tabel4[[#This Row],[Ny pris]]-Tabel4[[#This Row],[Råleje]]</f>
        <v>-495</v>
      </c>
      <c r="P15" s="11"/>
      <c r="Q15" s="11"/>
      <c r="R15" s="13" t="s">
        <v>51</v>
      </c>
    </row>
    <row r="16" spans="1:18">
      <c r="A16" s="1" t="s">
        <v>52</v>
      </c>
      <c r="B16" s="5" t="s">
        <v>19</v>
      </c>
      <c r="C16" s="5"/>
      <c r="D16" s="5" t="s">
        <v>45</v>
      </c>
      <c r="E16" s="1" t="s">
        <v>46</v>
      </c>
      <c r="F16" s="5">
        <v>2</v>
      </c>
      <c r="G16" s="5">
        <v>4995</v>
      </c>
      <c r="H16" s="5">
        <v>800</v>
      </c>
      <c r="I16" s="8">
        <f>Tabel4[[#This Row],[Aconto]]+Tabel4[[#This Row],[Råleje]]</f>
        <v>5795</v>
      </c>
      <c r="J16" s="5">
        <v>59</v>
      </c>
      <c r="K16" s="9">
        <f>(Tabel4[[#This Row],[Råleje]]*12)/Tabel4[[#This Row],[kvm]]</f>
        <v>1015.9322033898305</v>
      </c>
      <c r="L16" s="10">
        <v>45809</v>
      </c>
      <c r="M16" s="5">
        <v>4995</v>
      </c>
      <c r="N16" s="11">
        <f>(Tabel4[[#This Row],[Ny pris]]*12)/Tabel4[[#This Row],[kvm]]</f>
        <v>1015.9322033898305</v>
      </c>
      <c r="O16" s="11">
        <f>Tabel4[[#This Row],[Ny pris]]-Tabel4[[#This Row],[Råleje]]</f>
        <v>0</v>
      </c>
      <c r="P16" s="11"/>
      <c r="Q16" s="11"/>
      <c r="R16" s="5"/>
    </row>
    <row r="17" spans="1:18">
      <c r="A17" s="1" t="s">
        <v>53</v>
      </c>
      <c r="B17" s="5" t="s">
        <v>54</v>
      </c>
      <c r="C17" s="5"/>
      <c r="D17" s="15" t="s">
        <v>45</v>
      </c>
      <c r="E17" s="1" t="s">
        <v>55</v>
      </c>
      <c r="F17" s="5">
        <v>2</v>
      </c>
      <c r="G17" s="5">
        <v>5795</v>
      </c>
      <c r="H17" s="5">
        <v>550</v>
      </c>
      <c r="I17" s="8">
        <f>Tabel4[[#This Row],[Aconto]]+Tabel4[[#This Row],[Råleje]]</f>
        <v>6345</v>
      </c>
      <c r="J17" s="5">
        <v>63</v>
      </c>
      <c r="K17" s="9">
        <f>(Tabel4[[#This Row],[Råleje]]*12)/Tabel4[[#This Row],[kvm]]</f>
        <v>1103.8095238095239</v>
      </c>
      <c r="L17" s="10">
        <v>45901</v>
      </c>
      <c r="M17" s="5">
        <v>5500</v>
      </c>
      <c r="N17" s="11">
        <f>(Tabel4[[#This Row],[Ny pris]]*12)/Tabel4[[#This Row],[kvm]]</f>
        <v>1047.6190476190477</v>
      </c>
      <c r="O17" s="11">
        <f>Tabel4[[#This Row],[Ny pris]]-Tabel4[[#This Row],[Råleje]]</f>
        <v>-295</v>
      </c>
      <c r="P17" s="11"/>
      <c r="Q17" s="11"/>
      <c r="R17" s="13" t="s">
        <v>56</v>
      </c>
    </row>
    <row r="18" spans="1:18">
      <c r="A18" s="1" t="s">
        <v>57</v>
      </c>
      <c r="B18" s="5" t="s">
        <v>58</v>
      </c>
      <c r="C18" s="5"/>
      <c r="D18" s="15" t="s">
        <v>45</v>
      </c>
      <c r="E18" s="1" t="s">
        <v>55</v>
      </c>
      <c r="F18" s="8">
        <v>1</v>
      </c>
      <c r="G18" s="8">
        <v>5895</v>
      </c>
      <c r="H18" s="8">
        <v>550</v>
      </c>
      <c r="I18" s="8">
        <f>Tabel4[[#This Row],[Aconto]]+Tabel4[[#This Row],[Råleje]]</f>
        <v>6445</v>
      </c>
      <c r="J18" s="8">
        <v>54</v>
      </c>
      <c r="K18" s="9">
        <f>(Tabel4[[#This Row],[Råleje]]*12)/Tabel4[[#This Row],[kvm]]</f>
        <v>1310</v>
      </c>
      <c r="L18" s="10">
        <v>45992</v>
      </c>
      <c r="M18" s="5">
        <v>4995</v>
      </c>
      <c r="N18" s="11">
        <f>(Tabel4[[#This Row],[Ny pris]]*12)/Tabel4[[#This Row],[kvm]]</f>
        <v>1110</v>
      </c>
      <c r="O18" s="11">
        <f>Tabel4[[#This Row],[Ny pris]]-Tabel4[[#This Row],[Råleje]]</f>
        <v>-900</v>
      </c>
      <c r="P18" s="11"/>
      <c r="Q18" s="11"/>
      <c r="R18" s="13" t="s">
        <v>59</v>
      </c>
    </row>
    <row r="19" spans="1:18">
      <c r="A19" s="1" t="s">
        <v>60</v>
      </c>
      <c r="B19" s="5" t="s">
        <v>58</v>
      </c>
      <c r="C19" s="10">
        <v>45796</v>
      </c>
      <c r="D19" s="15" t="s">
        <v>45</v>
      </c>
      <c r="E19" s="1" t="s">
        <v>55</v>
      </c>
      <c r="F19" s="5">
        <v>2</v>
      </c>
      <c r="G19" s="5">
        <v>5995</v>
      </c>
      <c r="H19" s="5">
        <v>900</v>
      </c>
      <c r="I19" s="8">
        <f>Tabel4[[#This Row],[Aconto]]+Tabel4[[#This Row],[Råleje]]</f>
        <v>6895</v>
      </c>
      <c r="J19" s="5">
        <v>73</v>
      </c>
      <c r="K19" s="9">
        <f>(Tabel4[[#This Row],[Råleje]]*12)/Tabel4[[#This Row],[kvm]]</f>
        <v>985.47945205479448</v>
      </c>
      <c r="L19" s="10">
        <v>45413</v>
      </c>
      <c r="M19" s="5"/>
      <c r="N19" s="11">
        <f>(Tabel4[[#This Row],[Ny pris]]*12)/Tabel4[[#This Row],[kvm]]</f>
        <v>0</v>
      </c>
      <c r="O19" s="11">
        <f>Tabel4[[#This Row],[Ny pris]]-Tabel4[[#This Row],[Råleje]]</f>
        <v>-5995</v>
      </c>
      <c r="P19" s="11"/>
      <c r="Q19" s="11"/>
      <c r="R19" s="5"/>
    </row>
    <row r="20" spans="1:18">
      <c r="A20" s="1" t="s">
        <v>61</v>
      </c>
      <c r="B20" s="5" t="s">
        <v>34</v>
      </c>
      <c r="C20" s="5"/>
      <c r="D20" s="15" t="s">
        <v>45</v>
      </c>
      <c r="E20" s="1" t="s">
        <v>55</v>
      </c>
      <c r="F20" s="5">
        <v>2</v>
      </c>
      <c r="G20" s="5">
        <v>6195</v>
      </c>
      <c r="H20" s="5">
        <v>700</v>
      </c>
      <c r="I20" s="8">
        <f>Tabel4[[#This Row],[Aconto]]+Tabel4[[#This Row],[Råleje]]</f>
        <v>6895</v>
      </c>
      <c r="J20" s="5">
        <v>64</v>
      </c>
      <c r="K20" s="9">
        <f>(Tabel4[[#This Row],[Råleje]]*12)/Tabel4[[#This Row],[kvm]]</f>
        <v>1161.5625</v>
      </c>
      <c r="L20" s="10">
        <v>45931</v>
      </c>
      <c r="M20" s="5">
        <v>5995</v>
      </c>
      <c r="N20" s="11">
        <f>(Tabel4[[#This Row],[Ny pris]]*12)/Tabel4[[#This Row],[kvm]]</f>
        <v>1124.0625</v>
      </c>
      <c r="O20" s="11">
        <f>Tabel4[[#This Row],[Ny pris]]-Tabel4[[#This Row],[Råleje]]</f>
        <v>-200</v>
      </c>
      <c r="P20" s="11"/>
      <c r="Q20" s="11"/>
      <c r="R20" s="5" t="s">
        <v>62</v>
      </c>
    </row>
    <row r="21" spans="1:18">
      <c r="A21" s="1" t="s">
        <v>63</v>
      </c>
      <c r="B21" s="5" t="s">
        <v>64</v>
      </c>
      <c r="C21" s="6">
        <v>45882</v>
      </c>
      <c r="D21" s="5" t="s">
        <v>45</v>
      </c>
      <c r="E21" s="1" t="s">
        <v>55</v>
      </c>
      <c r="F21" s="5">
        <v>3</v>
      </c>
      <c r="G21" s="5">
        <v>6495</v>
      </c>
      <c r="H21" s="5">
        <v>700</v>
      </c>
      <c r="I21" s="8">
        <f>Tabel4[[#This Row],[Aconto]]+Tabel4[[#This Row],[Råleje]]</f>
        <v>7195</v>
      </c>
      <c r="J21" s="5">
        <v>76</v>
      </c>
      <c r="K21" s="9">
        <f>(Tabel4[[#This Row],[Råleje]]*12)/Tabel4[[#This Row],[kvm]]</f>
        <v>1025.5263157894738</v>
      </c>
      <c r="L21" s="10">
        <v>45870</v>
      </c>
      <c r="M21" s="5"/>
      <c r="N21" s="11">
        <f>(Tabel4[[#This Row],[Ny pris]]*12)/Tabel4[[#This Row],[kvm]]</f>
        <v>0</v>
      </c>
      <c r="O21" s="11">
        <f>Tabel4[[#This Row],[Ny pris]]-Tabel4[[#This Row],[Råleje]]</f>
        <v>-6495</v>
      </c>
      <c r="P21" s="11"/>
      <c r="Q21" s="11"/>
      <c r="R21" s="5"/>
    </row>
    <row r="22" spans="1:18">
      <c r="A22" s="2" t="s">
        <v>65</v>
      </c>
      <c r="B22" s="5" t="s">
        <v>66</v>
      </c>
      <c r="C22" s="6">
        <v>45882</v>
      </c>
      <c r="D22" s="5" t="s">
        <v>45</v>
      </c>
      <c r="E22" s="1" t="s">
        <v>55</v>
      </c>
      <c r="F22" s="5">
        <v>3</v>
      </c>
      <c r="G22" s="5">
        <v>6495</v>
      </c>
      <c r="H22" s="5">
        <v>800</v>
      </c>
      <c r="I22" s="8">
        <f>Tabel4[[#This Row],[Aconto]]+Tabel4[[#This Row],[Råleje]]</f>
        <v>7295</v>
      </c>
      <c r="J22" s="5">
        <v>86</v>
      </c>
      <c r="K22" s="9">
        <f>(Tabel4[[#This Row],[Råleje]]*12)/Tabel4[[#This Row],[kvm]]</f>
        <v>906.27906976744191</v>
      </c>
      <c r="L22" s="10">
        <v>45839</v>
      </c>
      <c r="M22" s="5">
        <v>6250</v>
      </c>
      <c r="N22" s="11">
        <f>(Tabel4[[#This Row],[Ny pris]]*12)/Tabel4[[#This Row],[kvm]]</f>
        <v>872.09302325581393</v>
      </c>
      <c r="O22" s="11">
        <f>Tabel4[[#This Row],[Ny pris]]-Tabel4[[#This Row],[Råleje]]</f>
        <v>-245</v>
      </c>
      <c r="P22" s="11"/>
      <c r="Q22" s="11"/>
      <c r="R22" s="5"/>
    </row>
    <row r="23" spans="1:18">
      <c r="A23" s="1" t="s">
        <v>67</v>
      </c>
      <c r="B23" s="5" t="s">
        <v>66</v>
      </c>
      <c r="C23" s="5"/>
      <c r="D23" s="5" t="s">
        <v>45</v>
      </c>
      <c r="E23" s="1" t="s">
        <v>55</v>
      </c>
      <c r="F23" s="5">
        <v>4</v>
      </c>
      <c r="G23" s="5">
        <v>6795</v>
      </c>
      <c r="H23" s="5">
        <v>800</v>
      </c>
      <c r="I23" s="8">
        <f>Tabel4[[#This Row],[Aconto]]+Tabel4[[#This Row],[Råleje]]</f>
        <v>7595</v>
      </c>
      <c r="J23" s="5">
        <v>100</v>
      </c>
      <c r="K23" s="9">
        <f>(Tabel4[[#This Row],[Råleje]]*12)/Tabel4[[#This Row],[kvm]]</f>
        <v>815.4</v>
      </c>
      <c r="L23" s="10">
        <v>45870</v>
      </c>
      <c r="M23" s="5"/>
      <c r="N23" s="11">
        <f>(Tabel4[[#This Row],[Ny pris]]*12)/Tabel4[[#This Row],[kvm]]</f>
        <v>0</v>
      </c>
      <c r="O23" s="11">
        <f>Tabel4[[#This Row],[Ny pris]]-Tabel4[[#This Row],[Råleje]]</f>
        <v>-6795</v>
      </c>
      <c r="P23" s="11"/>
      <c r="Q23" s="11"/>
      <c r="R23" s="5"/>
    </row>
    <row r="24" spans="1:18">
      <c r="A24" s="1" t="s">
        <v>68</v>
      </c>
      <c r="B24" s="5" t="s">
        <v>69</v>
      </c>
      <c r="C24" s="6">
        <v>45776</v>
      </c>
      <c r="D24" s="5" t="s">
        <v>45</v>
      </c>
      <c r="E24" s="1" t="s">
        <v>55</v>
      </c>
      <c r="F24" s="5">
        <v>3</v>
      </c>
      <c r="G24" s="5">
        <v>6995</v>
      </c>
      <c r="H24" s="5">
        <v>750</v>
      </c>
      <c r="I24" s="8">
        <f>Tabel4[[#This Row],[Aconto]]+Tabel4[[#This Row],[Råleje]]</f>
        <v>7745</v>
      </c>
      <c r="J24" s="5">
        <v>90</v>
      </c>
      <c r="K24" s="9">
        <f>(Tabel4[[#This Row],[Råleje]]*12)/Tabel4[[#This Row],[kvm]]</f>
        <v>932.66666666666663</v>
      </c>
      <c r="L24" s="10">
        <v>45778</v>
      </c>
      <c r="M24" s="5">
        <v>6495</v>
      </c>
      <c r="N24" s="11">
        <f>(Tabel4[[#This Row],[Ny pris]]*12)/Tabel4[[#This Row],[kvm]]</f>
        <v>866</v>
      </c>
      <c r="O24" s="11">
        <f>Tabel4[[#This Row],[Ny pris]]-Tabel4[[#This Row],[Råleje]]</f>
        <v>-500</v>
      </c>
      <c r="P24" s="11"/>
      <c r="Q24" s="11"/>
      <c r="R24" s="5"/>
    </row>
    <row r="25" spans="1:18">
      <c r="A25" s="1" t="s">
        <v>70</v>
      </c>
      <c r="B25" s="5" t="s">
        <v>23</v>
      </c>
      <c r="C25" s="6">
        <v>45691</v>
      </c>
      <c r="D25" s="5" t="s">
        <v>45</v>
      </c>
      <c r="E25" s="1" t="s">
        <v>55</v>
      </c>
      <c r="F25" s="5">
        <v>2</v>
      </c>
      <c r="G25" s="5">
        <v>6995</v>
      </c>
      <c r="H25" s="5">
        <v>800</v>
      </c>
      <c r="I25" s="8">
        <f>Tabel4[[#This Row],[Aconto]]+Tabel4[[#This Row],[Råleje]]</f>
        <v>7795</v>
      </c>
      <c r="J25" s="5">
        <v>94</v>
      </c>
      <c r="K25" s="9">
        <f>(Tabel4[[#This Row],[Råleje]]*12)/Tabel4[[#This Row],[kvm]]</f>
        <v>892.97872340425533</v>
      </c>
      <c r="L25" s="10">
        <v>45748</v>
      </c>
      <c r="M25" s="5">
        <v>6250</v>
      </c>
      <c r="N25" s="11">
        <f>(Tabel4[[#This Row],[Ny pris]]*12)/Tabel4[[#This Row],[kvm]]</f>
        <v>797.87234042553189</v>
      </c>
      <c r="O25" s="11">
        <f>Tabel4[[#This Row],[Ny pris]]-Tabel4[[#This Row],[Råleje]]</f>
        <v>-745</v>
      </c>
      <c r="P25" s="11"/>
      <c r="Q25" s="11"/>
      <c r="R25" s="5"/>
    </row>
    <row r="26" spans="1:18">
      <c r="A26" s="1" t="s">
        <v>71</v>
      </c>
      <c r="B26" s="5" t="s">
        <v>72</v>
      </c>
      <c r="C26" s="16" t="s">
        <v>2</v>
      </c>
      <c r="D26" s="5" t="s">
        <v>45</v>
      </c>
      <c r="E26" s="1" t="s">
        <v>55</v>
      </c>
      <c r="F26" s="5">
        <v>3</v>
      </c>
      <c r="G26" s="5">
        <v>6995</v>
      </c>
      <c r="H26" s="5">
        <v>750</v>
      </c>
      <c r="I26" s="8">
        <f>Tabel4[[#This Row],[Aconto]]+Tabel4[[#This Row],[Råleje]]</f>
        <v>7745</v>
      </c>
      <c r="J26" s="5">
        <v>77</v>
      </c>
      <c r="K26" s="9">
        <f>(Tabel4[[#This Row],[Råleje]]*12)/Tabel4[[#This Row],[kvm]]</f>
        <v>1090.1298701298701</v>
      </c>
      <c r="L26" s="10">
        <v>45689</v>
      </c>
      <c r="M26" s="5">
        <v>6495</v>
      </c>
      <c r="N26" s="11">
        <f>(Tabel4[[#This Row],[Ny pris]]*12)/Tabel4[[#This Row],[kvm]]</f>
        <v>1012.2077922077922</v>
      </c>
      <c r="O26" s="11">
        <f>Tabel4[[#This Row],[Ny pris]]-Tabel4[[#This Row],[Råleje]]</f>
        <v>-500</v>
      </c>
      <c r="P26" s="11"/>
      <c r="Q26" s="11"/>
      <c r="R26" s="5"/>
    </row>
    <row r="27" spans="1:18">
      <c r="A27" s="1" t="s">
        <v>73</v>
      </c>
      <c r="B27" s="5" t="s">
        <v>74</v>
      </c>
      <c r="C27" s="6">
        <v>45659</v>
      </c>
      <c r="D27" s="5" t="s">
        <v>45</v>
      </c>
      <c r="E27" s="1" t="s">
        <v>55</v>
      </c>
      <c r="F27" s="5">
        <v>2</v>
      </c>
      <c r="G27" s="5">
        <v>6995</v>
      </c>
      <c r="H27" s="5">
        <v>800</v>
      </c>
      <c r="I27" s="8">
        <f>Tabel4[[#This Row],[Aconto]]+Tabel4[[#This Row],[Råleje]]</f>
        <v>7795</v>
      </c>
      <c r="J27" s="5">
        <v>94</v>
      </c>
      <c r="K27" s="9">
        <f>(Tabel4[[#This Row],[Råleje]]*12)/Tabel4[[#This Row],[kvm]]</f>
        <v>892.97872340425533</v>
      </c>
      <c r="L27" s="10">
        <v>45597</v>
      </c>
      <c r="M27" s="5">
        <v>6350</v>
      </c>
      <c r="N27" s="11">
        <f>(Tabel4[[#This Row],[Ny pris]]*12)/Tabel4[[#This Row],[kvm]]</f>
        <v>810.63829787234044</v>
      </c>
      <c r="O27" s="11">
        <f>Tabel4[[#This Row],[Ny pris]]-Tabel4[[#This Row],[Råleje]]</f>
        <v>-645</v>
      </c>
      <c r="P27" s="11"/>
      <c r="Q27" s="11"/>
      <c r="R27" s="5"/>
    </row>
    <row r="28" spans="1:18">
      <c r="A28" s="2" t="s">
        <v>75</v>
      </c>
      <c r="B28" s="5" t="s">
        <v>58</v>
      </c>
      <c r="C28" s="5"/>
      <c r="D28" s="5" t="s">
        <v>45</v>
      </c>
      <c r="E28" s="1" t="s">
        <v>55</v>
      </c>
      <c r="F28" s="5">
        <v>3</v>
      </c>
      <c r="G28" s="5">
        <v>6995</v>
      </c>
      <c r="H28" s="5">
        <v>1200</v>
      </c>
      <c r="I28" s="8">
        <f>Tabel4[[#This Row],[Aconto]]+Tabel4[[#This Row],[Råleje]]</f>
        <v>8195</v>
      </c>
      <c r="J28" s="5">
        <v>84</v>
      </c>
      <c r="K28" s="9">
        <f>(Tabel4[[#This Row],[Råleje]]*12)/Tabel4[[#This Row],[kvm]]</f>
        <v>999.28571428571433</v>
      </c>
      <c r="L28" s="10">
        <v>43374</v>
      </c>
      <c r="M28" s="5"/>
      <c r="N28" s="11">
        <f>(Tabel4[[#This Row],[Ny pris]]*12)/Tabel4[[#This Row],[kvm]]</f>
        <v>0</v>
      </c>
      <c r="O28" s="11">
        <f>Tabel4[[#This Row],[Ny pris]]-Tabel4[[#This Row],[Råleje]]</f>
        <v>-6995</v>
      </c>
      <c r="P28" s="11"/>
      <c r="Q28" s="11"/>
      <c r="R28" s="5"/>
    </row>
    <row r="29" spans="1:18">
      <c r="A29" s="1" t="s">
        <v>76</v>
      </c>
      <c r="B29" s="5" t="s">
        <v>28</v>
      </c>
      <c r="C29" s="5"/>
      <c r="D29" s="5" t="s">
        <v>45</v>
      </c>
      <c r="E29" s="1" t="s">
        <v>55</v>
      </c>
      <c r="F29" s="5"/>
      <c r="G29" s="5">
        <v>7195</v>
      </c>
      <c r="H29" s="5">
        <v>800</v>
      </c>
      <c r="I29" s="8">
        <f>Tabel4[[#This Row],[Aconto]]+Tabel4[[#This Row],[Råleje]]</f>
        <v>7995</v>
      </c>
      <c r="J29" s="5">
        <v>90</v>
      </c>
      <c r="K29" s="9">
        <f>(Tabel4[[#This Row],[Råleje]]*12)/Tabel4[[#This Row],[kvm]]</f>
        <v>959.33333333333337</v>
      </c>
      <c r="L29" s="10">
        <v>45839</v>
      </c>
      <c r="M29" s="5"/>
      <c r="N29" s="11">
        <f>(Tabel4[[#This Row],[Ny pris]]*12)/Tabel4[[#This Row],[kvm]]</f>
        <v>0</v>
      </c>
      <c r="O29" s="11">
        <f>Tabel4[[#This Row],[Ny pris]]-Tabel4[[#This Row],[Råleje]]</f>
        <v>-7195</v>
      </c>
      <c r="P29" s="11" t="s">
        <v>24</v>
      </c>
      <c r="Q29" s="11"/>
      <c r="R29" s="5"/>
    </row>
    <row r="30" spans="1:18">
      <c r="A30" s="2" t="s">
        <v>77</v>
      </c>
      <c r="B30" s="5" t="s">
        <v>78</v>
      </c>
      <c r="C30" s="6">
        <v>45842</v>
      </c>
      <c r="D30" s="5" t="s">
        <v>45</v>
      </c>
      <c r="E30" s="1" t="s">
        <v>55</v>
      </c>
      <c r="F30" s="5">
        <v>3</v>
      </c>
      <c r="G30" s="5">
        <v>7495</v>
      </c>
      <c r="H30" s="5">
        <v>700</v>
      </c>
      <c r="I30" s="8">
        <f>Tabel4[[#This Row],[Aconto]]+Tabel4[[#This Row],[Råleje]]</f>
        <v>8195</v>
      </c>
      <c r="J30" s="5">
        <v>97</v>
      </c>
      <c r="K30" s="9">
        <f>(Tabel4[[#This Row],[Råleje]]*12)/Tabel4[[#This Row],[kvm]]</f>
        <v>927.21649484536078</v>
      </c>
      <c r="L30" s="10">
        <v>45839</v>
      </c>
      <c r="M30" s="5">
        <v>6995</v>
      </c>
      <c r="N30" s="11">
        <f>(Tabel4[[#This Row],[Ny pris]]*12)/Tabel4[[#This Row],[kvm]]</f>
        <v>865.36082474226805</v>
      </c>
      <c r="O30" s="11">
        <f>Tabel4[[#This Row],[Ny pris]]-Tabel4[[#This Row],[Råleje]]</f>
        <v>-500</v>
      </c>
      <c r="P30" s="11"/>
      <c r="Q30" s="11" t="s">
        <v>40</v>
      </c>
      <c r="R30" s="5"/>
    </row>
    <row r="31" spans="1:18">
      <c r="A31" s="2" t="s">
        <v>79</v>
      </c>
      <c r="B31" s="5" t="s">
        <v>80</v>
      </c>
      <c r="C31" s="6">
        <v>45882</v>
      </c>
      <c r="D31" s="5" t="s">
        <v>45</v>
      </c>
      <c r="E31" s="1" t="s">
        <v>55</v>
      </c>
      <c r="F31" s="5">
        <v>3</v>
      </c>
      <c r="G31" s="5">
        <v>7795</v>
      </c>
      <c r="H31" s="5">
        <v>700</v>
      </c>
      <c r="I31" s="8">
        <f>Tabel4[[#This Row],[Aconto]]+Tabel4[[#This Row],[Råleje]]</f>
        <v>8495</v>
      </c>
      <c r="J31" s="5">
        <v>98</v>
      </c>
      <c r="K31" s="9">
        <f>(Tabel4[[#This Row],[Råleje]]*12)/Tabel4[[#This Row],[kvm]]</f>
        <v>954.48979591836735</v>
      </c>
      <c r="L31" s="10">
        <v>45809</v>
      </c>
      <c r="M31" s="5">
        <v>6995</v>
      </c>
      <c r="N31" s="11">
        <f>(Tabel4[[#This Row],[Ny pris]]*12)/Tabel4[[#This Row],[kvm]]</f>
        <v>856.53061224489795</v>
      </c>
      <c r="O31" s="11">
        <f>Tabel4[[#This Row],[Ny pris]]-Tabel4[[#This Row],[Råleje]]</f>
        <v>-800</v>
      </c>
      <c r="P31" s="11"/>
      <c r="Q31" s="11"/>
      <c r="R31" s="5" t="s">
        <v>81</v>
      </c>
    </row>
    <row r="32" spans="1:18">
      <c r="A32" s="2" t="s">
        <v>82</v>
      </c>
      <c r="B32" s="5" t="s">
        <v>58</v>
      </c>
      <c r="C32" s="6">
        <v>45457</v>
      </c>
      <c r="D32" s="5" t="s">
        <v>45</v>
      </c>
      <c r="E32" s="1" t="s">
        <v>55</v>
      </c>
      <c r="F32" s="5">
        <v>3</v>
      </c>
      <c r="G32" s="5">
        <v>7900</v>
      </c>
      <c r="H32" s="5">
        <v>900</v>
      </c>
      <c r="I32" s="8">
        <f>Tabel4[[#This Row],[Aconto]]+Tabel4[[#This Row],[Råleje]]</f>
        <v>8800</v>
      </c>
      <c r="J32" s="5"/>
      <c r="K32" s="9" t="e">
        <f>(Tabel4[[#This Row],[Råleje]]*12)/Tabel4[[#This Row],[kvm]]</f>
        <v>#DIV/0!</v>
      </c>
      <c r="L32" s="10">
        <v>44774</v>
      </c>
      <c r="M32" s="5"/>
      <c r="N32" s="11" t="e">
        <f>(Tabel4[[#This Row],[Ny pris]]*12)/Tabel4[[#This Row],[kvm]]</f>
        <v>#DIV/0!</v>
      </c>
      <c r="O32" s="11">
        <f>Tabel4[[#This Row],[Ny pris]]-Tabel4[[#This Row],[Råleje]]</f>
        <v>-7900</v>
      </c>
      <c r="P32" s="11" t="s">
        <v>24</v>
      </c>
      <c r="Q32" s="11"/>
      <c r="R32" s="5"/>
    </row>
    <row r="33" spans="1:18">
      <c r="A33" s="2" t="s">
        <v>83</v>
      </c>
      <c r="B33" s="5" t="s">
        <v>19</v>
      </c>
      <c r="C33" s="6">
        <v>45882</v>
      </c>
      <c r="D33" s="5" t="s">
        <v>45</v>
      </c>
      <c r="E33" s="1" t="s">
        <v>55</v>
      </c>
      <c r="F33" s="5">
        <v>4</v>
      </c>
      <c r="G33" s="5">
        <v>7995</v>
      </c>
      <c r="H33" s="5">
        <v>900</v>
      </c>
      <c r="I33" s="8">
        <f>Tabel4[[#This Row],[Aconto]]+Tabel4[[#This Row],[Råleje]]</f>
        <v>8895</v>
      </c>
      <c r="J33" s="5">
        <v>100</v>
      </c>
      <c r="K33" s="9">
        <f>(Tabel4[[#This Row],[Råleje]]*12)/Tabel4[[#This Row],[kvm]]</f>
        <v>959.4</v>
      </c>
      <c r="L33" s="10">
        <v>45809</v>
      </c>
      <c r="M33" s="5">
        <v>6500</v>
      </c>
      <c r="N33" s="11">
        <f>(Tabel4[[#This Row],[Ny pris]]*12)/Tabel4[[#This Row],[kvm]]</f>
        <v>780</v>
      </c>
      <c r="O33" s="11">
        <f>Tabel4[[#This Row],[Ny pris]]-Tabel4[[#This Row],[Råleje]]</f>
        <v>-1495</v>
      </c>
      <c r="P33" s="11"/>
      <c r="Q33" s="11"/>
      <c r="R33" s="13" t="s">
        <v>84</v>
      </c>
    </row>
    <row r="34" spans="1:18">
      <c r="A34" s="1" t="s">
        <v>85</v>
      </c>
      <c r="B34" s="5" t="s">
        <v>58</v>
      </c>
      <c r="C34" s="6">
        <v>45457</v>
      </c>
      <c r="D34" s="5" t="s">
        <v>45</v>
      </c>
      <c r="E34" s="1" t="s">
        <v>55</v>
      </c>
      <c r="F34" s="5">
        <v>3</v>
      </c>
      <c r="G34" s="5">
        <v>8150</v>
      </c>
      <c r="H34" s="5">
        <v>900</v>
      </c>
      <c r="I34" s="8">
        <f>Tabel4[[#This Row],[Aconto]]+Tabel4[[#This Row],[Råleje]]</f>
        <v>9050</v>
      </c>
      <c r="J34" s="5">
        <v>95</v>
      </c>
      <c r="K34" s="9">
        <f>(Tabel4[[#This Row],[Råleje]]*12)/Tabel4[[#This Row],[kvm]]</f>
        <v>1029.4736842105262</v>
      </c>
      <c r="L34" s="10">
        <v>45809</v>
      </c>
      <c r="M34" s="5"/>
      <c r="N34" s="11">
        <f>(Tabel4[[#This Row],[Ny pris]]*12)/Tabel4[[#This Row],[kvm]]</f>
        <v>0</v>
      </c>
      <c r="O34" s="11">
        <f>Tabel4[[#This Row],[Ny pris]]-Tabel4[[#This Row],[Råleje]]</f>
        <v>-8150</v>
      </c>
      <c r="P34" s="11"/>
      <c r="Q34" s="11"/>
      <c r="R34" s="5"/>
    </row>
    <row r="35" spans="1:18">
      <c r="A35" s="2" t="s">
        <v>86</v>
      </c>
      <c r="B35" s="5" t="s">
        <v>58</v>
      </c>
      <c r="C35" s="6">
        <v>45457</v>
      </c>
      <c r="D35" s="5" t="s">
        <v>45</v>
      </c>
      <c r="E35" s="1" t="s">
        <v>55</v>
      </c>
      <c r="F35" s="5">
        <v>3</v>
      </c>
      <c r="G35" s="5">
        <v>8995</v>
      </c>
      <c r="H35" s="5">
        <v>1500</v>
      </c>
      <c r="I35" s="8">
        <f>Tabel4[[#This Row],[Aconto]]+Tabel4[[#This Row],[Råleje]]</f>
        <v>10495</v>
      </c>
      <c r="J35" s="5">
        <v>100</v>
      </c>
      <c r="K35" s="9">
        <f>(Tabel4[[#This Row],[Råleje]]*12)/Tabel4[[#This Row],[kvm]]</f>
        <v>1079.4000000000001</v>
      </c>
      <c r="L35" s="10">
        <v>44013</v>
      </c>
      <c r="M35" s="5"/>
      <c r="N35" s="11">
        <f>(Tabel4[[#This Row],[Ny pris]]*12)/Tabel4[[#This Row],[kvm]]</f>
        <v>0</v>
      </c>
      <c r="O35" s="11">
        <f>Tabel4[[#This Row],[Ny pris]]-Tabel4[[#This Row],[Råleje]]</f>
        <v>-8995</v>
      </c>
      <c r="P35" s="11"/>
      <c r="Q35" s="11"/>
      <c r="R35" s="5"/>
    </row>
    <row r="36" spans="1:18">
      <c r="A36" s="1" t="s">
        <v>87</v>
      </c>
      <c r="B36" s="5" t="s">
        <v>58</v>
      </c>
      <c r="C36" s="5"/>
      <c r="D36" s="16" t="s">
        <v>88</v>
      </c>
      <c r="E36" s="1" t="s">
        <v>46</v>
      </c>
      <c r="F36" s="5">
        <v>1</v>
      </c>
      <c r="G36" s="5">
        <v>4995</v>
      </c>
      <c r="H36" s="5">
        <v>800</v>
      </c>
      <c r="I36" s="8">
        <f>Tabel4[[#This Row],[Aconto]]+Tabel4[[#This Row],[Råleje]]</f>
        <v>5795</v>
      </c>
      <c r="J36" s="5">
        <v>54</v>
      </c>
      <c r="K36" s="9">
        <f>(Tabel4[[#This Row],[Råleje]]*12)/Tabel4[[#This Row],[kvm]]</f>
        <v>1110</v>
      </c>
      <c r="L36" s="10">
        <v>45839</v>
      </c>
      <c r="M36" s="5"/>
      <c r="N36" s="11">
        <f>(Tabel4[[#This Row],[Ny pris]]*12)/Tabel4[[#This Row],[kvm]]</f>
        <v>0</v>
      </c>
      <c r="O36" s="11">
        <f>Tabel4[[#This Row],[Ny pris]]-Tabel4[[#This Row],[Råleje]]</f>
        <v>-4995</v>
      </c>
      <c r="P36" s="11"/>
      <c r="Q36" s="11"/>
      <c r="R36" s="5"/>
    </row>
    <row r="37" spans="1:18">
      <c r="A37" s="2" t="s">
        <v>89</v>
      </c>
      <c r="B37" s="5" t="s">
        <v>19</v>
      </c>
      <c r="C37" s="5"/>
      <c r="D37" s="16" t="s">
        <v>88</v>
      </c>
      <c r="E37" s="1" t="s">
        <v>55</v>
      </c>
      <c r="F37" s="8">
        <v>2</v>
      </c>
      <c r="G37" s="8">
        <v>5495</v>
      </c>
      <c r="H37" s="8">
        <v>800</v>
      </c>
      <c r="I37" s="8">
        <f>Tabel4[[#This Row],[Aconto]]+Tabel4[[#This Row],[Råleje]]</f>
        <v>6295</v>
      </c>
      <c r="J37" s="8">
        <v>59</v>
      </c>
      <c r="K37" s="9">
        <f>(Tabel4[[#This Row],[Råleje]]*12)/Tabel4[[#This Row],[kvm]]</f>
        <v>1117.6271186440679</v>
      </c>
      <c r="L37" s="10">
        <v>45992</v>
      </c>
      <c r="M37" s="5">
        <v>5245</v>
      </c>
      <c r="N37" s="11">
        <f>(Tabel4[[#This Row],[Ny pris]]*12)/Tabel4[[#This Row],[kvm]]</f>
        <v>1066.7796610169491</v>
      </c>
      <c r="O37" s="11">
        <f>Tabel4[[#This Row],[Ny pris]]-Tabel4[[#This Row],[Råleje]]</f>
        <v>-250</v>
      </c>
      <c r="P37" s="11"/>
      <c r="Q37" s="11"/>
      <c r="R37" s="5"/>
    </row>
    <row r="38" spans="1:18">
      <c r="A38" s="1" t="s">
        <v>90</v>
      </c>
      <c r="B38" s="5" t="s">
        <v>91</v>
      </c>
      <c r="C38" s="5"/>
      <c r="D38" s="16" t="s">
        <v>88</v>
      </c>
      <c r="E38" s="1" t="s">
        <v>55</v>
      </c>
      <c r="F38" s="5">
        <v>2</v>
      </c>
      <c r="G38" s="5">
        <v>5495</v>
      </c>
      <c r="H38" s="5">
        <v>600</v>
      </c>
      <c r="I38" s="8">
        <f>Tabel4[[#This Row],[Aconto]]+Tabel4[[#This Row],[Råleje]]</f>
        <v>6095</v>
      </c>
      <c r="J38" s="5">
        <v>63</v>
      </c>
      <c r="K38" s="9">
        <f>(Tabel4[[#This Row],[Råleje]]*12)/Tabel4[[#This Row],[kvm]]</f>
        <v>1046.6666666666667</v>
      </c>
      <c r="L38" s="10">
        <v>45931</v>
      </c>
      <c r="M38" s="5">
        <v>4995</v>
      </c>
      <c r="N38" s="11">
        <f>(Tabel4[[#This Row],[Ny pris]]*12)/Tabel4[[#This Row],[kvm]]</f>
        <v>951.42857142857144</v>
      </c>
      <c r="O38" s="11">
        <f>Tabel4[[#This Row],[Ny pris]]-Tabel4[[#This Row],[Råleje]]</f>
        <v>-500</v>
      </c>
      <c r="P38" s="11"/>
      <c r="Q38" s="11"/>
      <c r="R38" s="13" t="s">
        <v>92</v>
      </c>
    </row>
    <row r="39" spans="1:18">
      <c r="A39" s="2" t="s">
        <v>93</v>
      </c>
      <c r="B39" s="5" t="s">
        <v>94</v>
      </c>
      <c r="C39" s="5"/>
      <c r="D39" s="16" t="s">
        <v>88</v>
      </c>
      <c r="E39" s="1" t="s">
        <v>55</v>
      </c>
      <c r="F39" s="5"/>
      <c r="G39" s="5">
        <v>5695</v>
      </c>
      <c r="H39" s="5">
        <v>800</v>
      </c>
      <c r="I39" s="8">
        <f>Tabel4[[#This Row],[Aconto]]+Tabel4[[#This Row],[Råleje]]</f>
        <v>6495</v>
      </c>
      <c r="J39" s="5">
        <v>85</v>
      </c>
      <c r="K39" s="9">
        <f>(Tabel4[[#This Row],[Råleje]]*12)/Tabel4[[#This Row],[kvm]]</f>
        <v>804</v>
      </c>
      <c r="L39" s="10">
        <v>44378</v>
      </c>
      <c r="M39" s="5"/>
      <c r="N39" s="11">
        <f>(Tabel4[[#This Row],[Ny pris]]*12)/Tabel4[[#This Row],[kvm]]</f>
        <v>0</v>
      </c>
      <c r="O39" s="11">
        <f>Tabel4[[#This Row],[Ny pris]]-Tabel4[[#This Row],[Råleje]]</f>
        <v>-5695</v>
      </c>
      <c r="P39" s="11" t="s">
        <v>24</v>
      </c>
      <c r="Q39" s="11"/>
      <c r="R39" s="5"/>
    </row>
    <row r="40" spans="1:18">
      <c r="A40" s="2" t="s">
        <v>95</v>
      </c>
      <c r="B40" s="5" t="s">
        <v>96</v>
      </c>
      <c r="C40" s="16" t="s">
        <v>97</v>
      </c>
      <c r="D40" s="16" t="s">
        <v>88</v>
      </c>
      <c r="E40" s="1" t="s">
        <v>55</v>
      </c>
      <c r="F40" s="5">
        <v>2</v>
      </c>
      <c r="G40" s="5">
        <v>5795</v>
      </c>
      <c r="H40" s="5">
        <v>600</v>
      </c>
      <c r="I40" s="8">
        <f>Tabel4[[#This Row],[Aconto]]+Tabel4[[#This Row],[Råleje]]</f>
        <v>6395</v>
      </c>
      <c r="J40" s="5">
        <v>74</v>
      </c>
      <c r="K40" s="9">
        <f>(Tabel4[[#This Row],[Råleje]]*12)/Tabel4[[#This Row],[kvm]]</f>
        <v>939.72972972972968</v>
      </c>
      <c r="L40" s="10">
        <v>45627</v>
      </c>
      <c r="M40" s="5">
        <v>5250</v>
      </c>
      <c r="N40" s="11">
        <f>(Tabel4[[#This Row],[Ny pris]]*12)/Tabel4[[#This Row],[kvm]]</f>
        <v>851.35135135135135</v>
      </c>
      <c r="O40" s="11">
        <f>Tabel4[[#This Row],[Ny pris]]-Tabel4[[#This Row],[Råleje]]</f>
        <v>-545</v>
      </c>
      <c r="P40" s="11"/>
      <c r="Q40" s="11"/>
      <c r="R40" s="5"/>
    </row>
    <row r="41" spans="1:18">
      <c r="A41" s="2" t="s">
        <v>98</v>
      </c>
      <c r="B41" s="5" t="s">
        <v>99</v>
      </c>
      <c r="C41" s="16" t="s">
        <v>100</v>
      </c>
      <c r="D41" s="16" t="s">
        <v>88</v>
      </c>
      <c r="E41" s="1" t="s">
        <v>55</v>
      </c>
      <c r="F41" s="5">
        <v>3</v>
      </c>
      <c r="G41" s="5">
        <v>5995</v>
      </c>
      <c r="H41" s="5">
        <v>700</v>
      </c>
      <c r="I41" s="8">
        <f>Tabel4[[#This Row],[Aconto]]+Tabel4[[#This Row],[Råleje]]</f>
        <v>6695</v>
      </c>
      <c r="J41" s="5">
        <v>72</v>
      </c>
      <c r="K41" s="9">
        <f>(Tabel4[[#This Row],[Råleje]]*12)/Tabel4[[#This Row],[kvm]]</f>
        <v>999.16666666666663</v>
      </c>
      <c r="L41" s="10">
        <v>45931</v>
      </c>
      <c r="M41" s="5">
        <v>4995</v>
      </c>
      <c r="N41" s="11">
        <f>(Tabel4[[#This Row],[Ny pris]]*12)/Tabel4[[#This Row],[kvm]]</f>
        <v>832.5</v>
      </c>
      <c r="O41" s="11">
        <f>Tabel4[[#This Row],[Ny pris]]-Tabel4[[#This Row],[Råleje]]</f>
        <v>-1000</v>
      </c>
      <c r="P41" s="11"/>
      <c r="Q41" s="11"/>
      <c r="R41" s="13" t="s">
        <v>101</v>
      </c>
    </row>
    <row r="42" spans="1:18">
      <c r="A42" s="2" t="s">
        <v>102</v>
      </c>
      <c r="B42" s="5" t="s">
        <v>103</v>
      </c>
      <c r="C42" s="5"/>
      <c r="D42" s="16" t="s">
        <v>88</v>
      </c>
      <c r="E42" s="1" t="s">
        <v>55</v>
      </c>
      <c r="F42" s="5">
        <v>4</v>
      </c>
      <c r="G42" s="5">
        <v>6095</v>
      </c>
      <c r="H42" s="5">
        <v>950</v>
      </c>
      <c r="I42" s="8">
        <f>Tabel4[[#This Row],[Aconto]]+Tabel4[[#This Row],[Råleje]]</f>
        <v>7045</v>
      </c>
      <c r="J42" s="5">
        <v>95</v>
      </c>
      <c r="K42" s="9">
        <f>(Tabel4[[#This Row],[Råleje]]*12)/Tabel4[[#This Row],[kvm]]</f>
        <v>769.89473684210532</v>
      </c>
      <c r="L42" s="10">
        <v>45962</v>
      </c>
      <c r="M42" s="5">
        <v>5995</v>
      </c>
      <c r="N42" s="11">
        <f>(Tabel4[[#This Row],[Ny pris]]*12)/Tabel4[[#This Row],[kvm]]</f>
        <v>757.26315789473688</v>
      </c>
      <c r="O42" s="11">
        <f>Tabel4[[#This Row],[Ny pris]]-Tabel4[[#This Row],[Råleje]]</f>
        <v>-100</v>
      </c>
      <c r="P42" s="11"/>
      <c r="Q42" s="11"/>
      <c r="R42" s="5"/>
    </row>
    <row r="43" spans="1:18" ht="15.75" customHeight="1">
      <c r="A43" s="1" t="s">
        <v>104</v>
      </c>
      <c r="B43" s="5" t="s">
        <v>105</v>
      </c>
      <c r="C43" s="5"/>
      <c r="D43" s="16" t="s">
        <v>88</v>
      </c>
      <c r="E43" s="1" t="s">
        <v>55</v>
      </c>
      <c r="F43" s="5">
        <v>2</v>
      </c>
      <c r="G43" s="5">
        <v>6295</v>
      </c>
      <c r="H43" s="5">
        <v>900</v>
      </c>
      <c r="I43" s="8">
        <f>Tabel4[[#This Row],[Aconto]]+Tabel4[[#This Row],[Råleje]]</f>
        <v>7195</v>
      </c>
      <c r="J43" s="5">
        <v>76</v>
      </c>
      <c r="K43" s="9">
        <f>(Tabel4[[#This Row],[Råleje]]*12)/Tabel4[[#This Row],[kvm]]</f>
        <v>993.9473684210526</v>
      </c>
      <c r="L43" s="10">
        <v>45778</v>
      </c>
      <c r="M43" s="5">
        <v>5995</v>
      </c>
      <c r="N43" s="11">
        <f>(Tabel4[[#This Row],[Ny pris]]*12)/Tabel4[[#This Row],[kvm]]</f>
        <v>946.57894736842104</v>
      </c>
      <c r="O43" s="11">
        <f>Tabel4[[#This Row],[Ny pris]]-Tabel4[[#This Row],[Råleje]]</f>
        <v>-300</v>
      </c>
      <c r="P43" s="11"/>
      <c r="Q43" s="11"/>
      <c r="R43" s="5"/>
    </row>
    <row r="44" spans="1:18">
      <c r="A44" s="2" t="s">
        <v>106</v>
      </c>
      <c r="B44" s="5" t="s">
        <v>66</v>
      </c>
      <c r="C44" s="5"/>
      <c r="D44" s="16" t="s">
        <v>88</v>
      </c>
      <c r="E44" s="1" t="s">
        <v>55</v>
      </c>
      <c r="F44" s="5">
        <v>3</v>
      </c>
      <c r="G44" s="5">
        <v>6495</v>
      </c>
      <c r="H44" s="5">
        <v>900</v>
      </c>
      <c r="I44" s="8">
        <f>Tabel4[[#This Row],[Aconto]]+Tabel4[[#This Row],[Råleje]]</f>
        <v>7395</v>
      </c>
      <c r="J44" s="5">
        <v>86</v>
      </c>
      <c r="K44" s="9">
        <f>(Tabel4[[#This Row],[Råleje]]*12)/Tabel4[[#This Row],[kvm]]</f>
        <v>906.27906976744191</v>
      </c>
      <c r="L44" s="10">
        <v>45870</v>
      </c>
      <c r="M44" s="5">
        <v>5995</v>
      </c>
      <c r="N44" s="11">
        <f>(Tabel4[[#This Row],[Ny pris]]*12)/Tabel4[[#This Row],[kvm]]</f>
        <v>836.51162790697674</v>
      </c>
      <c r="O44" s="11">
        <f>Tabel4[[#This Row],[Ny pris]]-Tabel4[[#This Row],[Råleje]]</f>
        <v>-500</v>
      </c>
      <c r="P44" s="11"/>
      <c r="Q44" s="11"/>
      <c r="R44" s="13" t="s">
        <v>107</v>
      </c>
    </row>
    <row r="45" spans="1:18">
      <c r="A45" s="1" t="s">
        <v>108</v>
      </c>
      <c r="B45" s="5" t="s">
        <v>58</v>
      </c>
      <c r="C45" s="5"/>
      <c r="D45" s="16" t="s">
        <v>88</v>
      </c>
      <c r="E45" s="1" t="s">
        <v>55</v>
      </c>
      <c r="F45" s="5">
        <v>2</v>
      </c>
      <c r="G45" s="5">
        <v>6495</v>
      </c>
      <c r="H45" s="5">
        <v>1100</v>
      </c>
      <c r="I45" s="8">
        <f>Tabel4[[#This Row],[Aconto]]+Tabel4[[#This Row],[Råleje]]</f>
        <v>7595</v>
      </c>
      <c r="J45" s="5">
        <v>74</v>
      </c>
      <c r="K45" s="9">
        <f>(Tabel4[[#This Row],[Råleje]]*12)/Tabel4[[#This Row],[kvm]]</f>
        <v>1053.2432432432433</v>
      </c>
      <c r="L45" s="10">
        <v>45658</v>
      </c>
      <c r="M45" s="5"/>
      <c r="N45" s="11">
        <f>(Tabel4[[#This Row],[Ny pris]]*12)/Tabel4[[#This Row],[kvm]]</f>
        <v>0</v>
      </c>
      <c r="O45" s="11">
        <f>Tabel4[[#This Row],[Ny pris]]-Tabel4[[#This Row],[Råleje]]</f>
        <v>-6495</v>
      </c>
      <c r="P45" s="11"/>
      <c r="Q45" s="11"/>
      <c r="R45" s="5"/>
    </row>
    <row r="46" spans="1:18">
      <c r="A46" s="1" t="s">
        <v>109</v>
      </c>
      <c r="B46" s="5" t="s">
        <v>96</v>
      </c>
      <c r="C46" s="5"/>
      <c r="D46" s="16" t="s">
        <v>88</v>
      </c>
      <c r="E46" s="1" t="s">
        <v>55</v>
      </c>
      <c r="F46" s="5">
        <v>3</v>
      </c>
      <c r="G46" s="5">
        <v>6595</v>
      </c>
      <c r="H46" s="5">
        <v>800</v>
      </c>
      <c r="I46" s="8">
        <f>Tabel4[[#This Row],[Aconto]]+Tabel4[[#This Row],[Råleje]]</f>
        <v>7395</v>
      </c>
      <c r="J46" s="5">
        <v>82</v>
      </c>
      <c r="K46" s="9">
        <f>(Tabel4[[#This Row],[Råleje]]*12)/Tabel4[[#This Row],[kvm]]</f>
        <v>965.1219512195122</v>
      </c>
      <c r="L46" s="10">
        <v>45901</v>
      </c>
      <c r="M46" s="5">
        <v>6495</v>
      </c>
      <c r="N46" s="11">
        <f>(Tabel4[[#This Row],[Ny pris]]*12)/Tabel4[[#This Row],[kvm]]</f>
        <v>950.48780487804879</v>
      </c>
      <c r="O46" s="11">
        <f>Tabel4[[#This Row],[Ny pris]]-Tabel4[[#This Row],[Råleje]]</f>
        <v>-100</v>
      </c>
      <c r="P46" s="11"/>
      <c r="Q46" s="11"/>
      <c r="R46" s="13" t="s">
        <v>110</v>
      </c>
    </row>
    <row r="47" spans="1:18">
      <c r="A47" s="2" t="s">
        <v>111</v>
      </c>
      <c r="B47" s="5" t="s">
        <v>112</v>
      </c>
      <c r="C47" s="5"/>
      <c r="D47" s="16" t="s">
        <v>88</v>
      </c>
      <c r="E47" s="1" t="s">
        <v>55</v>
      </c>
      <c r="F47" s="5">
        <v>3</v>
      </c>
      <c r="G47" s="5">
        <v>6795</v>
      </c>
      <c r="H47" s="5">
        <v>800</v>
      </c>
      <c r="I47" s="8">
        <f>Tabel4[[#This Row],[Aconto]]+Tabel4[[#This Row],[Råleje]]</f>
        <v>7595</v>
      </c>
      <c r="J47" s="5">
        <v>78</v>
      </c>
      <c r="K47" s="9">
        <f>(Tabel4[[#This Row],[Råleje]]*12)/Tabel4[[#This Row],[kvm]]</f>
        <v>1045.3846153846155</v>
      </c>
      <c r="L47" s="10">
        <v>45901</v>
      </c>
      <c r="M47" s="5">
        <v>6495</v>
      </c>
      <c r="N47" s="11">
        <f>(Tabel4[[#This Row],[Ny pris]]*12)/Tabel4[[#This Row],[kvm]]</f>
        <v>999.23076923076928</v>
      </c>
      <c r="O47" s="11">
        <f>Tabel4[[#This Row],[Ny pris]]-Tabel4[[#This Row],[Råleje]]</f>
        <v>-300</v>
      </c>
      <c r="P47" s="11"/>
      <c r="Q47" s="11"/>
      <c r="R47" s="13" t="s">
        <v>113</v>
      </c>
    </row>
    <row r="48" spans="1:18">
      <c r="A48" s="1" t="s">
        <v>114</v>
      </c>
      <c r="B48" s="5" t="s">
        <v>58</v>
      </c>
      <c r="C48" s="5"/>
      <c r="D48" s="16" t="s">
        <v>88</v>
      </c>
      <c r="E48" s="1" t="s">
        <v>46</v>
      </c>
      <c r="F48" s="5">
        <v>2</v>
      </c>
      <c r="G48" s="5">
        <v>6795</v>
      </c>
      <c r="H48" s="5">
        <v>1300</v>
      </c>
      <c r="I48" s="8">
        <f>Tabel4[[#This Row],[Aconto]]+Tabel4[[#This Row],[Råleje]]</f>
        <v>8095</v>
      </c>
      <c r="J48" s="5">
        <v>82</v>
      </c>
      <c r="K48" s="9">
        <f>(Tabel4[[#This Row],[Råleje]]*12)/Tabel4[[#This Row],[kvm]]</f>
        <v>994.39024390243901</v>
      </c>
      <c r="L48" s="10">
        <v>44347</v>
      </c>
      <c r="M48" s="5"/>
      <c r="N48" s="11">
        <f>(Tabel4[[#This Row],[Ny pris]]*12)/Tabel4[[#This Row],[kvm]]</f>
        <v>0</v>
      </c>
      <c r="O48" s="11">
        <f>Tabel4[[#This Row],[Ny pris]]-Tabel4[[#This Row],[Råleje]]</f>
        <v>-6795</v>
      </c>
      <c r="P48" s="11"/>
      <c r="Q48" s="11"/>
      <c r="R48" s="5"/>
    </row>
    <row r="49" spans="1:18">
      <c r="A49" s="2" t="s">
        <v>115</v>
      </c>
      <c r="B49" s="5" t="s">
        <v>58</v>
      </c>
      <c r="C49" s="5"/>
      <c r="D49" s="16" t="s">
        <v>88</v>
      </c>
      <c r="E49" s="1" t="s">
        <v>55</v>
      </c>
      <c r="F49" s="5">
        <v>2</v>
      </c>
      <c r="G49" s="5">
        <v>6795</v>
      </c>
      <c r="H49" s="5">
        <v>1200</v>
      </c>
      <c r="I49" s="8">
        <f>Tabel4[[#This Row],[Aconto]]+Tabel4[[#This Row],[Råleje]]</f>
        <v>7995</v>
      </c>
      <c r="J49" s="5">
        <v>82</v>
      </c>
      <c r="K49" s="9">
        <f>(Tabel4[[#This Row],[Råleje]]*12)/Tabel4[[#This Row],[kvm]]</f>
        <v>994.39024390243901</v>
      </c>
      <c r="L49" s="10">
        <v>43252</v>
      </c>
      <c r="M49" s="5"/>
      <c r="N49" s="11">
        <f>(Tabel4[[#This Row],[Ny pris]]*12)/Tabel4[[#This Row],[kvm]]</f>
        <v>0</v>
      </c>
      <c r="O49" s="11">
        <f>Tabel4[[#This Row],[Ny pris]]-Tabel4[[#This Row],[Råleje]]</f>
        <v>-6795</v>
      </c>
      <c r="P49" s="11"/>
      <c r="Q49" s="11"/>
      <c r="R49" s="5"/>
    </row>
    <row r="50" spans="1:18">
      <c r="A50" s="2" t="s">
        <v>116</v>
      </c>
      <c r="B50" s="5" t="s">
        <v>117</v>
      </c>
      <c r="C50" s="5"/>
      <c r="D50" s="16" t="s">
        <v>88</v>
      </c>
      <c r="E50" s="1" t="s">
        <v>55</v>
      </c>
      <c r="F50" s="5">
        <v>3</v>
      </c>
      <c r="G50" s="5">
        <v>6995</v>
      </c>
      <c r="H50" s="5">
        <v>1100</v>
      </c>
      <c r="I50" s="8">
        <f>Tabel4[[#This Row],[Aconto]]+Tabel4[[#This Row],[Råleje]]</f>
        <v>8095</v>
      </c>
      <c r="J50" s="5">
        <v>109</v>
      </c>
      <c r="K50" s="9">
        <f>(Tabel4[[#This Row],[Råleje]]*12)/Tabel4[[#This Row],[kvm]]</f>
        <v>770.09174311926608</v>
      </c>
      <c r="L50" s="10">
        <v>45992</v>
      </c>
      <c r="M50" s="5">
        <v>6995</v>
      </c>
      <c r="N50" s="11">
        <f>(Tabel4[[#This Row],[Ny pris]]*12)/Tabel4[[#This Row],[kvm]]</f>
        <v>770.09174311926608</v>
      </c>
      <c r="O50" s="11">
        <f>Tabel4[[#This Row],[Ny pris]]-Tabel4[[#This Row],[Råleje]]</f>
        <v>0</v>
      </c>
      <c r="P50" s="11"/>
      <c r="Q50" s="11"/>
      <c r="R50" s="5" t="s">
        <v>118</v>
      </c>
    </row>
    <row r="51" spans="1:18">
      <c r="A51" s="1" t="s">
        <v>119</v>
      </c>
      <c r="B51" s="5" t="s">
        <v>120</v>
      </c>
      <c r="C51" s="5"/>
      <c r="D51" s="16" t="s">
        <v>88</v>
      </c>
      <c r="E51" s="1" t="s">
        <v>55</v>
      </c>
      <c r="F51" s="5">
        <v>3</v>
      </c>
      <c r="G51" s="5">
        <v>6995</v>
      </c>
      <c r="H51" s="5">
        <v>800</v>
      </c>
      <c r="I51" s="8">
        <f>Tabel4[[#This Row],[Aconto]]+Tabel4[[#This Row],[Råleje]]</f>
        <v>7795</v>
      </c>
      <c r="J51" s="5">
        <v>85</v>
      </c>
      <c r="K51" s="9">
        <f>(Tabel4[[#This Row],[Råleje]]*12)/Tabel4[[#This Row],[kvm]]</f>
        <v>987.52941176470586</v>
      </c>
      <c r="L51" s="10">
        <v>45717</v>
      </c>
      <c r="M51" s="5">
        <v>6495</v>
      </c>
      <c r="N51" s="11">
        <f>(Tabel4[[#This Row],[Ny pris]]*12)/Tabel4[[#This Row],[kvm]]</f>
        <v>916.94117647058829</v>
      </c>
      <c r="O51" s="11">
        <f>Tabel4[[#This Row],[Ny pris]]-Tabel4[[#This Row],[Råleje]]</f>
        <v>-500</v>
      </c>
      <c r="P51" s="11"/>
      <c r="Q51" s="11"/>
      <c r="R51" s="5"/>
    </row>
    <row r="52" spans="1:18">
      <c r="A52" s="2" t="s">
        <v>121</v>
      </c>
      <c r="B52" s="5" t="s">
        <v>58</v>
      </c>
      <c r="C52" s="5"/>
      <c r="D52" s="16" t="s">
        <v>88</v>
      </c>
      <c r="E52" s="1" t="s">
        <v>55</v>
      </c>
      <c r="F52" s="5">
        <v>2</v>
      </c>
      <c r="G52" s="5">
        <v>6995</v>
      </c>
      <c r="H52" s="5">
        <v>1200</v>
      </c>
      <c r="I52" s="8">
        <f>Tabel4[[#This Row],[Aconto]]+Tabel4[[#This Row],[Råleje]]</f>
        <v>8195</v>
      </c>
      <c r="J52" s="5">
        <v>82</v>
      </c>
      <c r="K52" s="9">
        <f>(Tabel4[[#This Row],[Råleje]]*12)/Tabel4[[#This Row],[kvm]]</f>
        <v>1023.6585365853658</v>
      </c>
      <c r="L52" s="10">
        <v>45488</v>
      </c>
      <c r="M52" s="5"/>
      <c r="N52" s="11">
        <f>(Tabel4[[#This Row],[Ny pris]]*12)/Tabel4[[#This Row],[kvm]]</f>
        <v>0</v>
      </c>
      <c r="O52" s="11">
        <f>Tabel4[[#This Row],[Ny pris]]-Tabel4[[#This Row],[Råleje]]</f>
        <v>-6995</v>
      </c>
      <c r="P52" s="11"/>
      <c r="Q52" s="11"/>
      <c r="R52" s="5"/>
    </row>
    <row r="53" spans="1:18">
      <c r="A53" s="2" t="s">
        <v>122</v>
      </c>
      <c r="B53" s="5" t="s">
        <v>123</v>
      </c>
      <c r="C53" s="5"/>
      <c r="D53" s="16" t="s">
        <v>88</v>
      </c>
      <c r="E53" s="1" t="s">
        <v>55</v>
      </c>
      <c r="F53" s="5">
        <v>4</v>
      </c>
      <c r="G53" s="5">
        <v>7195</v>
      </c>
      <c r="H53" s="5">
        <v>900</v>
      </c>
      <c r="I53" s="8">
        <f>Tabel4[[#This Row],[Aconto]]+Tabel4[[#This Row],[Råleje]]</f>
        <v>8095</v>
      </c>
      <c r="J53" s="5">
        <v>85</v>
      </c>
      <c r="K53" s="9">
        <f>(Tabel4[[#This Row],[Råleje]]*12)/Tabel4[[#This Row],[kvm]]</f>
        <v>1015.7647058823529</v>
      </c>
      <c r="L53" s="10">
        <v>45931</v>
      </c>
      <c r="M53" s="5">
        <v>6795</v>
      </c>
      <c r="N53" s="11">
        <f>(Tabel4[[#This Row],[Ny pris]]*12)/Tabel4[[#This Row],[kvm]]</f>
        <v>959.29411764705878</v>
      </c>
      <c r="O53" s="11">
        <f>Tabel4[[#This Row],[Ny pris]]-Tabel4[[#This Row],[Råleje]]</f>
        <v>-400</v>
      </c>
      <c r="P53" s="11"/>
      <c r="Q53" s="11"/>
      <c r="R53" s="13" t="s">
        <v>124</v>
      </c>
    </row>
    <row r="54" spans="1:18">
      <c r="A54" s="2" t="s">
        <v>125</v>
      </c>
      <c r="B54" s="5" t="s">
        <v>58</v>
      </c>
      <c r="C54" s="5"/>
      <c r="D54" s="16" t="s">
        <v>88</v>
      </c>
      <c r="E54" s="1" t="s">
        <v>55</v>
      </c>
      <c r="F54" s="5">
        <v>3</v>
      </c>
      <c r="G54" s="5">
        <v>7495</v>
      </c>
      <c r="H54" s="5">
        <v>1200</v>
      </c>
      <c r="I54" s="8">
        <f>Tabel4[[#This Row],[Aconto]]+Tabel4[[#This Row],[Råleje]]</f>
        <v>8695</v>
      </c>
      <c r="J54" s="5">
        <v>89</v>
      </c>
      <c r="K54" s="9">
        <f>(Tabel4[[#This Row],[Råleje]]*12)/Tabel4[[#This Row],[kvm]]</f>
        <v>1010.561797752809</v>
      </c>
      <c r="L54" s="10">
        <v>44896</v>
      </c>
      <c r="M54" s="5"/>
      <c r="N54" s="11">
        <f>(Tabel4[[#This Row],[Ny pris]]*12)/Tabel4[[#This Row],[kvm]]</f>
        <v>0</v>
      </c>
      <c r="O54" s="11">
        <f>Tabel4[[#This Row],[Ny pris]]-Tabel4[[#This Row],[Råleje]]</f>
        <v>-7495</v>
      </c>
      <c r="P54" s="11"/>
      <c r="Q54" s="11"/>
      <c r="R54" s="5"/>
    </row>
    <row r="55" spans="1:18">
      <c r="A55" s="1" t="s">
        <v>126</v>
      </c>
      <c r="B55" s="5" t="s">
        <v>58</v>
      </c>
      <c r="C55" s="5"/>
      <c r="D55" s="16" t="s">
        <v>88</v>
      </c>
      <c r="E55" s="1" t="s">
        <v>55</v>
      </c>
      <c r="F55" s="5">
        <v>3</v>
      </c>
      <c r="G55" s="5">
        <v>7595</v>
      </c>
      <c r="H55" s="5">
        <v>800</v>
      </c>
      <c r="I55" s="8">
        <f>Tabel4[[#This Row],[Aconto]]+Tabel4[[#This Row],[Råleje]]</f>
        <v>8395</v>
      </c>
      <c r="J55" s="5">
        <v>88</v>
      </c>
      <c r="K55" s="9">
        <f>(Tabel4[[#This Row],[Råleje]]*12)/Tabel4[[#This Row],[kvm]]</f>
        <v>1035.6818181818182</v>
      </c>
      <c r="L55" s="10">
        <v>45839</v>
      </c>
      <c r="M55" s="5"/>
      <c r="N55" s="11">
        <f>(Tabel4[[#This Row],[Ny pris]]*12)/Tabel4[[#This Row],[kvm]]</f>
        <v>0</v>
      </c>
      <c r="O55" s="11">
        <f>Tabel4[[#This Row],[Ny pris]]-Tabel4[[#This Row],[Råleje]]</f>
        <v>-7595</v>
      </c>
      <c r="P55" s="11"/>
      <c r="Q55" s="11"/>
      <c r="R55" s="5"/>
    </row>
    <row r="56" spans="1:18">
      <c r="A56" s="2" t="s">
        <v>127</v>
      </c>
      <c r="B56" s="5" t="s">
        <v>128</v>
      </c>
      <c r="C56" s="5"/>
      <c r="D56" s="16" t="s">
        <v>88</v>
      </c>
      <c r="E56" s="1" t="s">
        <v>55</v>
      </c>
      <c r="F56" s="5">
        <v>3</v>
      </c>
      <c r="G56" s="5">
        <v>7295</v>
      </c>
      <c r="H56" s="5">
        <v>900</v>
      </c>
      <c r="I56" s="8">
        <f>Tabel4[[#This Row],[Aconto]]+Tabel4[[#This Row],[Råleje]]</f>
        <v>8195</v>
      </c>
      <c r="J56" s="5">
        <v>95</v>
      </c>
      <c r="K56" s="9">
        <f>(Tabel4[[#This Row],[Råleje]]*12)/Tabel4[[#This Row],[kvm]]</f>
        <v>921.47368421052636</v>
      </c>
      <c r="L56" s="10">
        <v>45839</v>
      </c>
      <c r="M56" s="5">
        <v>6995</v>
      </c>
      <c r="N56" s="11">
        <f>(Tabel4[[#This Row],[Ny pris]]*12)/Tabel4[[#This Row],[kvm]]</f>
        <v>883.57894736842104</v>
      </c>
      <c r="O56" s="11">
        <f>Tabel4[[#This Row],[Ny pris]]-Tabel4[[#This Row],[Råleje]]</f>
        <v>-300</v>
      </c>
      <c r="P56" s="11"/>
      <c r="Q56" s="11"/>
      <c r="R56" s="13" t="s">
        <v>129</v>
      </c>
    </row>
    <row r="57" spans="1:18">
      <c r="A57" s="2" t="s">
        <v>130</v>
      </c>
      <c r="B57" s="5" t="s">
        <v>74</v>
      </c>
      <c r="C57" s="5"/>
      <c r="D57" s="16" t="s">
        <v>88</v>
      </c>
      <c r="E57" s="1" t="s">
        <v>55</v>
      </c>
      <c r="F57" s="5">
        <v>3</v>
      </c>
      <c r="G57" s="5">
        <v>7795</v>
      </c>
      <c r="H57" s="5">
        <v>500</v>
      </c>
      <c r="I57" s="8">
        <f>Tabel4[[#This Row],[Aconto]]+Tabel4[[#This Row],[Råleje]]</f>
        <v>8295</v>
      </c>
      <c r="J57" s="5">
        <v>96</v>
      </c>
      <c r="K57" s="9">
        <f>(Tabel4[[#This Row],[Råleje]]*12)/Tabel4[[#This Row],[kvm]]</f>
        <v>974.375</v>
      </c>
      <c r="L57" s="10">
        <v>45931</v>
      </c>
      <c r="M57" s="5">
        <v>7495</v>
      </c>
      <c r="N57" s="11">
        <f>(Tabel4[[#This Row],[Ny pris]]*12)/Tabel4[[#This Row],[kvm]]</f>
        <v>936.875</v>
      </c>
      <c r="O57" s="11">
        <f>Tabel4[[#This Row],[Ny pris]]-Tabel4[[#This Row],[Råleje]]</f>
        <v>-300</v>
      </c>
      <c r="P57" s="11"/>
      <c r="Q57" s="11"/>
      <c r="R57" s="5"/>
    </row>
    <row r="58" spans="1:18">
      <c r="A58" s="2" t="s">
        <v>131</v>
      </c>
      <c r="B58" s="5" t="s">
        <v>58</v>
      </c>
      <c r="C58" s="5"/>
      <c r="D58" s="16" t="s">
        <v>88</v>
      </c>
      <c r="E58" s="1" t="s">
        <v>55</v>
      </c>
      <c r="F58" s="5">
        <v>3</v>
      </c>
      <c r="G58" s="5">
        <v>7895</v>
      </c>
      <c r="H58" s="5">
        <v>1300</v>
      </c>
      <c r="I58" s="8">
        <f>Tabel4[[#This Row],[Aconto]]+Tabel4[[#This Row],[Råleje]]</f>
        <v>9195</v>
      </c>
      <c r="J58" s="5">
        <v>93</v>
      </c>
      <c r="K58" s="9">
        <f>(Tabel4[[#This Row],[Råleje]]*12)/Tabel4[[#This Row],[kvm]]</f>
        <v>1018.7096774193549</v>
      </c>
      <c r="L58" s="10">
        <v>45627</v>
      </c>
      <c r="M58" s="5"/>
      <c r="N58" s="11">
        <f>(Tabel4[[#This Row],[Ny pris]]*12)/Tabel4[[#This Row],[kvm]]</f>
        <v>0</v>
      </c>
      <c r="O58" s="11">
        <f>Tabel4[[#This Row],[Ny pris]]-Tabel4[[#This Row],[Råleje]]</f>
        <v>-7895</v>
      </c>
      <c r="P58" s="11"/>
      <c r="Q58" s="11"/>
      <c r="R58" s="5"/>
    </row>
    <row r="59" spans="1:18">
      <c r="A59" s="2" t="s">
        <v>132</v>
      </c>
      <c r="B59" s="5" t="s">
        <v>133</v>
      </c>
      <c r="C59" s="5"/>
      <c r="D59" s="16" t="s">
        <v>88</v>
      </c>
      <c r="E59" s="1" t="s">
        <v>55</v>
      </c>
      <c r="F59" s="8">
        <v>4</v>
      </c>
      <c r="G59" s="8">
        <v>7995</v>
      </c>
      <c r="H59" s="8">
        <v>1000</v>
      </c>
      <c r="I59" s="8">
        <f>Tabel4[[#This Row],[Aconto]]+Tabel4[[#This Row],[Råleje]]</f>
        <v>8995</v>
      </c>
      <c r="J59" s="8">
        <v>95</v>
      </c>
      <c r="K59" s="9">
        <f>(Tabel4[[#This Row],[Råleje]]*12)/Tabel4[[#This Row],[kvm]]</f>
        <v>1009.8947368421053</v>
      </c>
      <c r="L59" s="10">
        <v>45962</v>
      </c>
      <c r="M59" s="5">
        <v>6995</v>
      </c>
      <c r="N59" s="11">
        <f>(Tabel4[[#This Row],[Ny pris]]*12)/Tabel4[[#This Row],[kvm]]</f>
        <v>883.57894736842104</v>
      </c>
      <c r="O59" s="11">
        <f>Tabel4[[#This Row],[Ny pris]]-Tabel4[[#This Row],[Råleje]]</f>
        <v>-1000</v>
      </c>
      <c r="P59" s="11"/>
      <c r="Q59" s="11" t="s">
        <v>24</v>
      </c>
      <c r="R59" s="13" t="s">
        <v>134</v>
      </c>
    </row>
    <row r="60" spans="1:18">
      <c r="A60" s="2" t="s">
        <v>135</v>
      </c>
      <c r="B60" s="5" t="s">
        <v>136</v>
      </c>
      <c r="C60" s="16" t="s">
        <v>137</v>
      </c>
      <c r="D60" s="16" t="s">
        <v>88</v>
      </c>
      <c r="E60" s="1" t="s">
        <v>55</v>
      </c>
      <c r="F60" s="5">
        <v>4</v>
      </c>
      <c r="G60" s="5">
        <v>7995</v>
      </c>
      <c r="H60" s="5">
        <v>750</v>
      </c>
      <c r="I60" s="8">
        <f>Tabel4[[#This Row],[Aconto]]+Tabel4[[#This Row],[Råleje]]</f>
        <v>8745</v>
      </c>
      <c r="J60" s="5">
        <v>103</v>
      </c>
      <c r="K60" s="9">
        <f>(Tabel4[[#This Row],[Råleje]]*12)/Tabel4[[#This Row],[kvm]]</f>
        <v>931.45631067961165</v>
      </c>
      <c r="L60" s="10">
        <v>45839</v>
      </c>
      <c r="M60" s="5">
        <v>7450</v>
      </c>
      <c r="N60" s="11">
        <f>(Tabel4[[#This Row],[Ny pris]]*12)/Tabel4[[#This Row],[kvm]]</f>
        <v>867.96116504854365</v>
      </c>
      <c r="O60" s="11">
        <f>Tabel4[[#This Row],[Ny pris]]-Tabel4[[#This Row],[Råleje]]</f>
        <v>-545</v>
      </c>
      <c r="P60" s="11" t="s">
        <v>24</v>
      </c>
      <c r="Q60" s="11"/>
      <c r="R60" s="5"/>
    </row>
    <row r="61" spans="1:18">
      <c r="A61" s="2" t="s">
        <v>138</v>
      </c>
      <c r="B61" s="5" t="s">
        <v>58</v>
      </c>
      <c r="C61" s="5"/>
      <c r="D61" s="16" t="s">
        <v>139</v>
      </c>
      <c r="E61" s="1" t="s">
        <v>55</v>
      </c>
      <c r="F61" s="5">
        <v>3</v>
      </c>
      <c r="G61" s="5">
        <v>7995</v>
      </c>
      <c r="H61" s="5">
        <v>1300</v>
      </c>
      <c r="I61" s="8">
        <f>Tabel4[[#This Row],[Aconto]]+Tabel4[[#This Row],[Råleje]]</f>
        <v>9295</v>
      </c>
      <c r="J61" s="5">
        <v>100</v>
      </c>
      <c r="K61" s="9">
        <f>(Tabel4[[#This Row],[Råleje]]*12)/Tabel4[[#This Row],[kvm]]</f>
        <v>959.4</v>
      </c>
      <c r="L61" s="10">
        <v>45383</v>
      </c>
      <c r="M61" s="5"/>
      <c r="N61" s="11">
        <f>(Tabel4[[#This Row],[Ny pris]]*12)/Tabel4[[#This Row],[kvm]]</f>
        <v>0</v>
      </c>
      <c r="O61" s="11">
        <f>Tabel4[[#This Row],[Ny pris]]-Tabel4[[#This Row],[Råleje]]</f>
        <v>-7995</v>
      </c>
      <c r="P61" s="11"/>
      <c r="Q61" s="11"/>
      <c r="R61" s="5"/>
    </row>
    <row r="62" spans="1:18">
      <c r="A62" s="2" t="s">
        <v>140</v>
      </c>
      <c r="B62" s="5" t="s">
        <v>141</v>
      </c>
      <c r="C62" s="5"/>
      <c r="D62" s="16" t="s">
        <v>88</v>
      </c>
      <c r="E62" s="1" t="s">
        <v>55</v>
      </c>
      <c r="F62" s="5"/>
      <c r="G62" s="5">
        <v>8195</v>
      </c>
      <c r="H62" s="5">
        <v>1200</v>
      </c>
      <c r="I62" s="8">
        <f>Tabel4[[#This Row],[Aconto]]+Tabel4[[#This Row],[Råleje]]</f>
        <v>9395</v>
      </c>
      <c r="J62" s="5">
        <v>96</v>
      </c>
      <c r="K62" s="9">
        <f>(Tabel4[[#This Row],[Råleje]]*12)/Tabel4[[#This Row],[kvm]]</f>
        <v>1024.375</v>
      </c>
      <c r="L62" s="10">
        <v>45870</v>
      </c>
      <c r="M62" s="5"/>
      <c r="N62" s="11">
        <f>(Tabel4[[#This Row],[Ny pris]]*12)/Tabel4[[#This Row],[kvm]]</f>
        <v>0</v>
      </c>
      <c r="O62" s="11">
        <f>Tabel4[[#This Row],[Ny pris]]-Tabel4[[#This Row],[Råleje]]</f>
        <v>-8195</v>
      </c>
      <c r="P62" s="11" t="s">
        <v>24</v>
      </c>
      <c r="Q62" s="11"/>
      <c r="R62" s="5"/>
    </row>
    <row r="63" spans="1:18">
      <c r="A63" s="2" t="s">
        <v>142</v>
      </c>
      <c r="B63" s="5" t="s">
        <v>58</v>
      </c>
      <c r="C63" s="6">
        <v>45457</v>
      </c>
      <c r="D63" s="16" t="s">
        <v>88</v>
      </c>
      <c r="E63" s="1" t="s">
        <v>55</v>
      </c>
      <c r="F63" s="5">
        <v>3</v>
      </c>
      <c r="G63" s="5">
        <v>8295</v>
      </c>
      <c r="H63" s="5">
        <v>900</v>
      </c>
      <c r="I63" s="8">
        <f>Tabel4[[#This Row],[Aconto]]+Tabel4[[#This Row],[Råleje]]</f>
        <v>9195</v>
      </c>
      <c r="J63" s="5">
        <v>100</v>
      </c>
      <c r="K63" s="9">
        <f>(Tabel4[[#This Row],[Råleje]]*12)/Tabel4[[#This Row],[kvm]]</f>
        <v>995.4</v>
      </c>
      <c r="L63" s="10">
        <v>43174</v>
      </c>
      <c r="M63" s="5"/>
      <c r="N63" s="11">
        <f>(Tabel4[[#This Row],[Ny pris]]*12)/Tabel4[[#This Row],[kvm]]</f>
        <v>0</v>
      </c>
      <c r="O63" s="11">
        <f>Tabel4[[#This Row],[Ny pris]]-Tabel4[[#This Row],[Råleje]]</f>
        <v>-8295</v>
      </c>
      <c r="P63" s="11"/>
      <c r="Q63" s="11"/>
      <c r="R63" s="5"/>
    </row>
    <row r="64" spans="1:18">
      <c r="A64" s="2" t="s">
        <v>143</v>
      </c>
      <c r="B64" s="5" t="s">
        <v>72</v>
      </c>
      <c r="C64" s="5"/>
      <c r="D64" s="16" t="s">
        <v>88</v>
      </c>
      <c r="E64" s="1" t="s">
        <v>55</v>
      </c>
      <c r="F64" s="5">
        <v>4</v>
      </c>
      <c r="G64" s="5">
        <v>8595</v>
      </c>
      <c r="H64" s="5">
        <v>1050</v>
      </c>
      <c r="I64" s="8">
        <f>Tabel4[[#This Row],[Aconto]]+Tabel4[[#This Row],[Råleje]]</f>
        <v>9645</v>
      </c>
      <c r="J64" s="5">
        <v>105</v>
      </c>
      <c r="K64" s="9">
        <f>(Tabel4[[#This Row],[Råleje]]*12)/Tabel4[[#This Row],[kvm]]</f>
        <v>982.28571428571433</v>
      </c>
      <c r="L64" s="10">
        <v>45992</v>
      </c>
      <c r="M64" s="5">
        <v>7000</v>
      </c>
      <c r="N64" s="11">
        <f>(Tabel4[[#This Row],[Ny pris]]*12)/Tabel4[[#This Row],[kvm]]</f>
        <v>800</v>
      </c>
      <c r="O64" s="11">
        <f>Tabel4[[#This Row],[Ny pris]]-Tabel4[[#This Row],[Råleje]]</f>
        <v>-1595</v>
      </c>
      <c r="P64" s="11"/>
      <c r="Q64" s="11" t="s">
        <v>40</v>
      </c>
      <c r="R64" s="5" t="s">
        <v>144</v>
      </c>
    </row>
    <row r="65" spans="1:18">
      <c r="A65" s="2" t="s">
        <v>145</v>
      </c>
      <c r="B65" s="5" t="s">
        <v>58</v>
      </c>
      <c r="C65" s="5"/>
      <c r="D65" s="16" t="s">
        <v>88</v>
      </c>
      <c r="E65" s="1" t="s">
        <v>55</v>
      </c>
      <c r="F65" s="5">
        <v>3</v>
      </c>
      <c r="G65" s="5">
        <v>8695</v>
      </c>
      <c r="H65" s="5">
        <v>1300</v>
      </c>
      <c r="I65" s="8">
        <f>Tabel4[[#This Row],[Aconto]]+Tabel4[[#This Row],[Råleje]]</f>
        <v>9995</v>
      </c>
      <c r="J65" s="5">
        <v>110</v>
      </c>
      <c r="K65" s="9">
        <f>(Tabel4[[#This Row],[Råleje]]*12)/Tabel4[[#This Row],[kvm]]</f>
        <v>948.5454545454545</v>
      </c>
      <c r="L65" s="10">
        <v>44013</v>
      </c>
      <c r="M65" s="5"/>
      <c r="N65" s="11">
        <f>(Tabel4[[#This Row],[Ny pris]]*12)/Tabel4[[#This Row],[kvm]]</f>
        <v>0</v>
      </c>
      <c r="O65" s="11">
        <f>Tabel4[[#This Row],[Ny pris]]-Tabel4[[#This Row],[Råleje]]</f>
        <v>-8695</v>
      </c>
      <c r="P65" s="11"/>
      <c r="Q65" s="11"/>
      <c r="R65" s="5"/>
    </row>
    <row r="66" spans="1:18">
      <c r="A66" s="2" t="s">
        <v>146</v>
      </c>
      <c r="B66" s="5" t="s">
        <v>147</v>
      </c>
      <c r="C66" s="5"/>
      <c r="D66" s="16" t="s">
        <v>88</v>
      </c>
      <c r="E66" s="1" t="s">
        <v>55</v>
      </c>
      <c r="F66" s="5">
        <v>4</v>
      </c>
      <c r="G66" s="5">
        <v>9295</v>
      </c>
      <c r="H66" s="5">
        <v>1000</v>
      </c>
      <c r="I66" s="8">
        <f>Tabel4[[#This Row],[Aconto]]+Tabel4[[#This Row],[Råleje]]</f>
        <v>10295</v>
      </c>
      <c r="J66" s="5">
        <v>123</v>
      </c>
      <c r="K66" s="9">
        <f>(Tabel4[[#This Row],[Råleje]]*12)/Tabel4[[#This Row],[kvm]]</f>
        <v>906.82926829268297</v>
      </c>
      <c r="L66" s="10">
        <v>45931</v>
      </c>
      <c r="M66" s="5">
        <v>8495</v>
      </c>
      <c r="N66" s="11">
        <f>(Tabel4[[#This Row],[Ny pris]]*12)/Tabel4[[#This Row],[kvm]]</f>
        <v>828.78048780487802</v>
      </c>
      <c r="O66" s="11">
        <f>Tabel4[[#This Row],[Ny pris]]-Tabel4[[#This Row],[Råleje]]</f>
        <v>-800</v>
      </c>
      <c r="P66" s="11"/>
      <c r="Q66" s="11"/>
      <c r="R66" s="13" t="s">
        <v>148</v>
      </c>
    </row>
    <row r="67" spans="1:18">
      <c r="A67" s="2" t="s">
        <v>149</v>
      </c>
      <c r="B67" s="5" t="s">
        <v>58</v>
      </c>
      <c r="C67" s="5"/>
      <c r="D67" s="16" t="s">
        <v>88</v>
      </c>
      <c r="E67" s="1" t="s">
        <v>55</v>
      </c>
      <c r="F67" s="5">
        <v>4</v>
      </c>
      <c r="G67" s="5">
        <v>9925</v>
      </c>
      <c r="H67" s="5">
        <v>1000</v>
      </c>
      <c r="I67" s="8">
        <f>Tabel4[[#This Row],[Aconto]]+Tabel4[[#This Row],[Råleje]]</f>
        <v>10925</v>
      </c>
      <c r="J67" s="5">
        <v>120</v>
      </c>
      <c r="K67" s="9">
        <f>(Tabel4[[#This Row],[Råleje]]*12)/Tabel4[[#This Row],[kvm]]</f>
        <v>992.5</v>
      </c>
      <c r="L67" s="10">
        <v>45627</v>
      </c>
      <c r="M67" s="5"/>
      <c r="N67" s="11">
        <f>(Tabel4[[#This Row],[Ny pris]]*12)/Tabel4[[#This Row],[kvm]]</f>
        <v>0</v>
      </c>
      <c r="O67" s="11">
        <f>Tabel4[[#This Row],[Ny pris]]-Tabel4[[#This Row],[Råleje]]</f>
        <v>-9925</v>
      </c>
      <c r="P67" s="11"/>
      <c r="Q67" s="11"/>
      <c r="R67" s="5"/>
    </row>
    <row r="68" spans="1:18">
      <c r="A68" s="2" t="s">
        <v>150</v>
      </c>
      <c r="B68" s="5" t="s">
        <v>151</v>
      </c>
      <c r="C68" s="5"/>
      <c r="D68" s="16" t="s">
        <v>152</v>
      </c>
      <c r="E68" s="1" t="s">
        <v>152</v>
      </c>
      <c r="F68" s="5">
        <v>4</v>
      </c>
      <c r="G68" s="5">
        <v>7695</v>
      </c>
      <c r="H68" s="5">
        <v>1050</v>
      </c>
      <c r="I68" s="8">
        <f>Tabel4[[#This Row],[Aconto]]+Tabel4[[#This Row],[Råleje]]</f>
        <v>8745</v>
      </c>
      <c r="J68" s="5">
        <v>115</v>
      </c>
      <c r="K68" s="9">
        <f>(Tabel4[[#This Row],[Råleje]]*12)/Tabel4[[#This Row],[kvm]]</f>
        <v>802.95652173913038</v>
      </c>
      <c r="L68" s="10">
        <v>45474</v>
      </c>
      <c r="M68" s="5">
        <v>6750</v>
      </c>
      <c r="N68" s="11">
        <f>(Tabel4[[#This Row],[Ny pris]]*12)/Tabel4[[#This Row],[kvm]]</f>
        <v>704.3478260869565</v>
      </c>
      <c r="O68" s="11">
        <f>Tabel4[[#This Row],[Ny pris]]-Tabel4[[#This Row],[Råleje]]</f>
        <v>-945</v>
      </c>
      <c r="P68" s="11"/>
      <c r="Q68" s="11"/>
      <c r="R68" s="5"/>
    </row>
    <row r="69" spans="1:18">
      <c r="A69" s="2" t="s">
        <v>153</v>
      </c>
      <c r="B69" s="5" t="s">
        <v>58</v>
      </c>
      <c r="C69" s="5"/>
      <c r="D69" s="6">
        <v>45976</v>
      </c>
      <c r="E69" s="1" t="s">
        <v>20</v>
      </c>
      <c r="F69" s="8">
        <v>1</v>
      </c>
      <c r="G69" s="8">
        <v>4895</v>
      </c>
      <c r="H69" s="8">
        <v>700</v>
      </c>
      <c r="I69" s="8">
        <f>Tabel4[[#This Row],[Aconto]]+Tabel4[[#This Row],[Råleje]]</f>
        <v>5595</v>
      </c>
      <c r="J69" s="8">
        <v>54</v>
      </c>
      <c r="K69" s="9">
        <f>(Tabel4[[#This Row],[Råleje]]*12)/Tabel4[[#This Row],[kvm]]</f>
        <v>1087.7777777777778</v>
      </c>
      <c r="L69" s="10">
        <v>45962</v>
      </c>
      <c r="M69" s="5">
        <v>4750</v>
      </c>
      <c r="N69" s="11">
        <f>(Tabel4[[#This Row],[Ny pris]]*12)/Tabel4[[#This Row],[kvm]]</f>
        <v>1055.5555555555557</v>
      </c>
      <c r="O69" s="11">
        <f>Tabel4[[#This Row],[Ny pris]]-Tabel4[[#This Row],[Råleje]]</f>
        <v>-145</v>
      </c>
      <c r="P69" s="11"/>
      <c r="Q69" s="11"/>
      <c r="R69" s="5"/>
    </row>
    <row r="70" spans="1:18">
      <c r="A70" s="2" t="s">
        <v>154</v>
      </c>
      <c r="B70" s="5" t="s">
        <v>58</v>
      </c>
      <c r="C70" s="5"/>
      <c r="D70" s="5"/>
      <c r="E70" s="1" t="s">
        <v>55</v>
      </c>
      <c r="F70" s="5">
        <v>3</v>
      </c>
      <c r="G70" s="5">
        <v>8495</v>
      </c>
      <c r="H70" s="5">
        <v>1300</v>
      </c>
      <c r="I70" s="8">
        <f>Tabel4[[#This Row],[Aconto]]+Tabel4[[#This Row],[Råleje]]</f>
        <v>9795</v>
      </c>
      <c r="J70" s="5">
        <v>93</v>
      </c>
      <c r="K70" s="9">
        <f>(Tabel4[[#This Row],[Råleje]]*12)/Tabel4[[#This Row],[kvm]]</f>
        <v>1096.1290322580646</v>
      </c>
      <c r="L70" s="10">
        <v>45474</v>
      </c>
      <c r="M70" s="5"/>
      <c r="N70" s="11">
        <f>(Tabel4[[#This Row],[Ny pris]]*12)/Tabel4[[#This Row],[kvm]]</f>
        <v>0</v>
      </c>
      <c r="O70" s="11">
        <f>Tabel4[[#This Row],[Ny pris]]-Tabel4[[#This Row],[Råleje]]</f>
        <v>-8495</v>
      </c>
      <c r="P70" s="11"/>
      <c r="Q70" s="11"/>
      <c r="R70" s="5"/>
    </row>
    <row r="71" spans="1:18">
      <c r="A71" s="2" t="s">
        <v>155</v>
      </c>
      <c r="B71" s="5" t="s">
        <v>19</v>
      </c>
      <c r="C71" s="5"/>
      <c r="D71" s="5"/>
      <c r="E71" s="1" t="s">
        <v>55</v>
      </c>
      <c r="F71" s="5"/>
      <c r="G71" s="5"/>
      <c r="H71" s="5"/>
      <c r="I71" s="8">
        <f>Tabel4[[#This Row],[Aconto]]+Tabel4[[#This Row],[Råleje]]</f>
        <v>0</v>
      </c>
      <c r="J71" s="5"/>
      <c r="K71" s="9" t="e">
        <f>(Tabel4[[#This Row],[Råleje]]*12)/Tabel4[[#This Row],[kvm]]</f>
        <v>#DIV/0!</v>
      </c>
      <c r="L71" s="10">
        <v>45962</v>
      </c>
      <c r="M71" s="5"/>
      <c r="N71" s="11" t="e">
        <f>(Tabel4[[#This Row],[Ny pris]]*12)/Tabel4[[#This Row],[kvm]]</f>
        <v>#DIV/0!</v>
      </c>
      <c r="O71" s="11">
        <f>Tabel4[[#This Row],[Ny pris]]-Tabel4[[#This Row],[Råleje]]</f>
        <v>0</v>
      </c>
      <c r="P71" s="11" t="s">
        <v>24</v>
      </c>
      <c r="Q71" s="11"/>
      <c r="R71" s="5"/>
    </row>
    <row r="72" spans="1:18">
      <c r="A72" s="2" t="s">
        <v>156</v>
      </c>
      <c r="B72" s="5" t="s">
        <v>157</v>
      </c>
      <c r="C72" s="5"/>
      <c r="D72" s="5"/>
      <c r="E72" s="1" t="s">
        <v>55</v>
      </c>
      <c r="F72" s="5"/>
      <c r="G72" s="5"/>
      <c r="H72" s="5"/>
      <c r="I72" s="8">
        <f>Tabel4[[#This Row],[Aconto]]+Tabel4[[#This Row],[Råleje]]</f>
        <v>0</v>
      </c>
      <c r="J72" s="5"/>
      <c r="K72" s="9" t="e">
        <f>(Tabel4[[#This Row],[Råleje]]*12)/Tabel4[[#This Row],[kvm]]</f>
        <v>#DIV/0!</v>
      </c>
      <c r="L72" s="10">
        <v>45901</v>
      </c>
      <c r="M72" s="5"/>
      <c r="N72" s="11" t="e">
        <f>(Tabel4[[#This Row],[Ny pris]]*12)/Tabel4[[#This Row],[kvm]]</f>
        <v>#DIV/0!</v>
      </c>
      <c r="O72" s="11">
        <f>Tabel4[[#This Row],[Ny pris]]-Tabel4[[#This Row],[Råleje]]</f>
        <v>0</v>
      </c>
      <c r="P72" s="11" t="s">
        <v>24</v>
      </c>
      <c r="Q72" s="11"/>
      <c r="R72" s="5"/>
    </row>
    <row r="73" spans="1:18">
      <c r="A73" s="2" t="s">
        <v>158</v>
      </c>
      <c r="B73" s="5" t="s">
        <v>136</v>
      </c>
      <c r="C73" s="5"/>
      <c r="D73" s="5"/>
      <c r="E73" s="1" t="s">
        <v>55</v>
      </c>
      <c r="F73" s="5"/>
      <c r="G73" s="5"/>
      <c r="H73" s="5"/>
      <c r="I73" s="8">
        <f>Tabel4[[#This Row],[Aconto]]+Tabel4[[#This Row],[Råleje]]</f>
        <v>0</v>
      </c>
      <c r="J73" s="5"/>
      <c r="K73" s="9" t="e">
        <f>(Tabel4[[#This Row],[Råleje]]*12)/Tabel4[[#This Row],[kvm]]</f>
        <v>#DIV/0!</v>
      </c>
      <c r="L73" s="10">
        <v>45870</v>
      </c>
      <c r="M73" s="5"/>
      <c r="N73" s="11" t="e">
        <f>(Tabel4[[#This Row],[Ny pris]]*12)/Tabel4[[#This Row],[kvm]]</f>
        <v>#DIV/0!</v>
      </c>
      <c r="O73" s="11">
        <f>Tabel4[[#This Row],[Ny pris]]-Tabel4[[#This Row],[Råleje]]</f>
        <v>0</v>
      </c>
      <c r="P73" s="11" t="s">
        <v>24</v>
      </c>
      <c r="Q73" s="11"/>
      <c r="R73" s="5"/>
    </row>
    <row r="74" spans="1:18">
      <c r="A74" s="2" t="s">
        <v>159</v>
      </c>
      <c r="B74" s="5" t="s">
        <v>105</v>
      </c>
      <c r="C74" s="5"/>
      <c r="D74" s="5"/>
      <c r="E74" s="1" t="s">
        <v>55</v>
      </c>
      <c r="F74" s="5"/>
      <c r="G74" s="5"/>
      <c r="H74" s="5"/>
      <c r="I74" s="8">
        <f>Tabel4[[#This Row],[Aconto]]+Tabel4[[#This Row],[Råleje]]</f>
        <v>0</v>
      </c>
      <c r="J74" s="5"/>
      <c r="K74" s="9" t="e">
        <f>(Tabel4[[#This Row],[Råleje]]*12)/Tabel4[[#This Row],[kvm]]</f>
        <v>#DIV/0!</v>
      </c>
      <c r="L74" s="10">
        <v>45809</v>
      </c>
      <c r="M74" s="5"/>
      <c r="N74" s="11" t="e">
        <f>(Tabel4[[#This Row],[Ny pris]]*12)/Tabel4[[#This Row],[kvm]]</f>
        <v>#DIV/0!</v>
      </c>
      <c r="O74" s="11">
        <f>Tabel4[[#This Row],[Ny pris]]-Tabel4[[#This Row],[Råleje]]</f>
        <v>0</v>
      </c>
      <c r="P74" s="11" t="s">
        <v>24</v>
      </c>
      <c r="Q74" s="11"/>
      <c r="R74" s="5"/>
    </row>
    <row r="75" spans="1:18">
      <c r="A75" s="2" t="s">
        <v>160</v>
      </c>
      <c r="B75" s="5" t="s">
        <v>58</v>
      </c>
      <c r="C75" s="5"/>
      <c r="D75" s="5"/>
      <c r="E75" s="1" t="s">
        <v>55</v>
      </c>
      <c r="F75" s="5"/>
      <c r="G75" s="5"/>
      <c r="H75" s="5"/>
      <c r="I75" s="8">
        <f>Tabel4[[#This Row],[Aconto]]+Tabel4[[#This Row],[Råleje]]</f>
        <v>0</v>
      </c>
      <c r="J75" s="5"/>
      <c r="K75" s="9" t="e">
        <f>(Tabel4[[#This Row],[Råleje]]*12)/Tabel4[[#This Row],[kvm]]</f>
        <v>#DIV/0!</v>
      </c>
      <c r="L75" s="10">
        <v>45778</v>
      </c>
      <c r="M75" s="5"/>
      <c r="N75" s="11" t="e">
        <f>(Tabel4[[#This Row],[Ny pris]]*12)/Tabel4[[#This Row],[kvm]]</f>
        <v>#DIV/0!</v>
      </c>
      <c r="O75" s="11">
        <f>Tabel4[[#This Row],[Ny pris]]-Tabel4[[#This Row],[Råleje]]</f>
        <v>0</v>
      </c>
      <c r="P75" s="11" t="s">
        <v>24</v>
      </c>
      <c r="Q75" s="11"/>
      <c r="R75" s="5"/>
    </row>
    <row r="76" spans="1:18">
      <c r="A76" s="2" t="s">
        <v>161</v>
      </c>
      <c r="B76" s="5" t="s">
        <v>58</v>
      </c>
      <c r="C76" s="6">
        <v>45796</v>
      </c>
      <c r="D76" s="5"/>
      <c r="E76" s="1" t="s">
        <v>55</v>
      </c>
      <c r="F76" s="5"/>
      <c r="G76" s="5"/>
      <c r="H76" s="5"/>
      <c r="I76" s="8">
        <f>Tabel4[[#This Row],[Aconto]]+Tabel4[[#This Row],[Råleje]]</f>
        <v>0</v>
      </c>
      <c r="J76" s="5"/>
      <c r="K76" s="9" t="e">
        <f>(Tabel4[[#This Row],[Råleje]]*12)/Tabel4[[#This Row],[kvm]]</f>
        <v>#DIV/0!</v>
      </c>
      <c r="L76" s="10">
        <v>45778</v>
      </c>
      <c r="M76" s="5"/>
      <c r="N76" s="11" t="e">
        <f>(Tabel4[[#This Row],[Ny pris]]*12)/Tabel4[[#This Row],[kvm]]</f>
        <v>#DIV/0!</v>
      </c>
      <c r="O76" s="11">
        <f>Tabel4[[#This Row],[Ny pris]]-Tabel4[[#This Row],[Råleje]]</f>
        <v>0</v>
      </c>
      <c r="P76" s="11" t="s">
        <v>24</v>
      </c>
      <c r="Q76" s="11"/>
      <c r="R76" s="5"/>
    </row>
    <row r="77" spans="1:18">
      <c r="A77" s="2" t="s">
        <v>162</v>
      </c>
      <c r="B77" s="5" t="s">
        <v>36</v>
      </c>
      <c r="C77" s="5"/>
      <c r="D77" s="5"/>
      <c r="E77" s="1" t="s">
        <v>55</v>
      </c>
      <c r="F77" s="5"/>
      <c r="G77" s="5"/>
      <c r="H77" s="5"/>
      <c r="I77" s="8">
        <f>Tabel4[[#This Row],[Aconto]]+Tabel4[[#This Row],[Råleje]]</f>
        <v>0</v>
      </c>
      <c r="J77" s="5"/>
      <c r="K77" s="9" t="e">
        <f>(Tabel4[[#This Row],[Råleje]]*12)/Tabel4[[#This Row],[kvm]]</f>
        <v>#DIV/0!</v>
      </c>
      <c r="L77" s="10">
        <v>45778</v>
      </c>
      <c r="M77" s="5"/>
      <c r="N77" s="11" t="e">
        <f>(Tabel4[[#This Row],[Ny pris]]*12)/Tabel4[[#This Row],[kvm]]</f>
        <v>#DIV/0!</v>
      </c>
      <c r="O77" s="11">
        <f>Tabel4[[#This Row],[Ny pris]]-Tabel4[[#This Row],[Råleje]]</f>
        <v>0</v>
      </c>
      <c r="P77" s="11" t="s">
        <v>24</v>
      </c>
      <c r="Q77" s="11"/>
      <c r="R77" s="5"/>
    </row>
    <row r="78" spans="1:18">
      <c r="A78" s="2" t="s">
        <v>163</v>
      </c>
      <c r="B78" s="5" t="s">
        <v>117</v>
      </c>
      <c r="C78" s="5"/>
      <c r="D78" s="5"/>
      <c r="E78" s="1" t="s">
        <v>55</v>
      </c>
      <c r="F78" s="5"/>
      <c r="G78" s="5"/>
      <c r="H78" s="5"/>
      <c r="I78" s="8">
        <f>Tabel4[[#This Row],[Aconto]]+Tabel4[[#This Row],[Råleje]]</f>
        <v>0</v>
      </c>
      <c r="J78" s="5"/>
      <c r="K78" s="9" t="e">
        <f>(Tabel4[[#This Row],[Råleje]]*12)/Tabel4[[#This Row],[kvm]]</f>
        <v>#DIV/0!</v>
      </c>
      <c r="L78" s="10">
        <v>45717</v>
      </c>
      <c r="M78" s="5"/>
      <c r="N78" s="11" t="e">
        <f>(Tabel4[[#This Row],[Ny pris]]*12)/Tabel4[[#This Row],[kvm]]</f>
        <v>#DIV/0!</v>
      </c>
      <c r="O78" s="11">
        <f>Tabel4[[#This Row],[Ny pris]]-Tabel4[[#This Row],[Råleje]]</f>
        <v>0</v>
      </c>
      <c r="P78" s="11" t="s">
        <v>24</v>
      </c>
      <c r="Q78" s="11"/>
      <c r="R78" s="5"/>
    </row>
    <row r="79" spans="1:18">
      <c r="A79" s="2" t="s">
        <v>164</v>
      </c>
      <c r="B79" s="5" t="s">
        <v>34</v>
      </c>
      <c r="C79" s="5"/>
      <c r="D79" s="5"/>
      <c r="E79" s="1" t="s">
        <v>55</v>
      </c>
      <c r="F79" s="5"/>
      <c r="G79" s="5"/>
      <c r="H79" s="5"/>
      <c r="I79" s="8">
        <f>Tabel4[[#This Row],[Aconto]]+Tabel4[[#This Row],[Råleje]]</f>
        <v>0</v>
      </c>
      <c r="J79" s="5"/>
      <c r="K79" s="9" t="e">
        <f>(Tabel4[[#This Row],[Råleje]]*12)/Tabel4[[#This Row],[kvm]]</f>
        <v>#DIV/0!</v>
      </c>
      <c r="L79" s="10">
        <v>45658</v>
      </c>
      <c r="M79" s="5"/>
      <c r="N79" s="11" t="e">
        <f>(Tabel4[[#This Row],[Ny pris]]*12)/Tabel4[[#This Row],[kvm]]</f>
        <v>#DIV/0!</v>
      </c>
      <c r="O79" s="11">
        <f>Tabel4[[#This Row],[Ny pris]]-Tabel4[[#This Row],[Råleje]]</f>
        <v>0</v>
      </c>
      <c r="P79" s="11" t="s">
        <v>24</v>
      </c>
      <c r="Q79" s="11"/>
      <c r="R79" s="5"/>
    </row>
    <row r="80" spans="1:18">
      <c r="A80" s="2" t="s">
        <v>165</v>
      </c>
      <c r="B80" s="5" t="s">
        <v>91</v>
      </c>
      <c r="C80" s="5"/>
      <c r="D80" s="5"/>
      <c r="E80" s="1" t="s">
        <v>55</v>
      </c>
      <c r="F80" s="5"/>
      <c r="G80" s="5"/>
      <c r="H80" s="5"/>
      <c r="I80" s="8">
        <f>Tabel4[[#This Row],[Aconto]]+Tabel4[[#This Row],[Råleje]]</f>
        <v>0</v>
      </c>
      <c r="J80" s="5"/>
      <c r="K80" s="9" t="e">
        <f>(Tabel4[[#This Row],[Råleje]]*12)/Tabel4[[#This Row],[kvm]]</f>
        <v>#DIV/0!</v>
      </c>
      <c r="L80" s="10">
        <v>45597</v>
      </c>
      <c r="M80" s="5"/>
      <c r="N80" s="11" t="e">
        <f>(Tabel4[[#This Row],[Ny pris]]*12)/Tabel4[[#This Row],[kvm]]</f>
        <v>#DIV/0!</v>
      </c>
      <c r="O80" s="11">
        <f>Tabel4[[#This Row],[Ny pris]]-Tabel4[[#This Row],[Råleje]]</f>
        <v>0</v>
      </c>
      <c r="P80" s="11" t="s">
        <v>24</v>
      </c>
      <c r="Q80" s="11"/>
      <c r="R80" s="5"/>
    </row>
    <row r="81" spans="1:18">
      <c r="A81" s="1" t="s">
        <v>166</v>
      </c>
      <c r="B81" s="5" t="s">
        <v>80</v>
      </c>
      <c r="C81" s="5"/>
      <c r="D81" s="5"/>
      <c r="E81" s="1" t="s">
        <v>55</v>
      </c>
      <c r="F81" s="5"/>
      <c r="G81" s="5"/>
      <c r="H81" s="5"/>
      <c r="I81" s="8">
        <f>Tabel4[[#This Row],[Aconto]]+Tabel4[[#This Row],[Råleje]]</f>
        <v>0</v>
      </c>
      <c r="J81" s="5"/>
      <c r="K81" s="9" t="e">
        <f>(Tabel4[[#This Row],[Råleje]]*12)/Tabel4[[#This Row],[kvm]]</f>
        <v>#DIV/0!</v>
      </c>
      <c r="L81" s="10">
        <v>45505</v>
      </c>
      <c r="M81" s="5"/>
      <c r="N81" s="11" t="e">
        <f>(Tabel4[[#This Row],[Ny pris]]*12)/Tabel4[[#This Row],[kvm]]</f>
        <v>#DIV/0!</v>
      </c>
      <c r="O81" s="11">
        <f>Tabel4[[#This Row],[Ny pris]]-Tabel4[[#This Row],[Råleje]]</f>
        <v>0</v>
      </c>
      <c r="P81" s="11" t="s">
        <v>24</v>
      </c>
      <c r="Q81" s="11"/>
      <c r="R81" s="5"/>
    </row>
    <row r="82" spans="1:18">
      <c r="A82" s="2" t="s">
        <v>167</v>
      </c>
      <c r="B82" s="5" t="s">
        <v>117</v>
      </c>
      <c r="C82" s="5"/>
      <c r="D82" s="5"/>
      <c r="E82" s="1" t="s">
        <v>55</v>
      </c>
      <c r="F82" s="5"/>
      <c r="G82" s="5"/>
      <c r="H82" s="5"/>
      <c r="I82" s="8">
        <f>Tabel4[[#This Row],[Aconto]]+Tabel4[[#This Row],[Råleje]]</f>
        <v>0</v>
      </c>
      <c r="J82" s="5"/>
      <c r="K82" s="9" t="e">
        <f>(Tabel4[[#This Row],[Råleje]]*12)/Tabel4[[#This Row],[kvm]]</f>
        <v>#DIV/0!</v>
      </c>
      <c r="L82" s="10">
        <v>45474</v>
      </c>
      <c r="M82" s="5"/>
      <c r="N82" s="11" t="e">
        <f>(Tabel4[[#This Row],[Ny pris]]*12)/Tabel4[[#This Row],[kvm]]</f>
        <v>#DIV/0!</v>
      </c>
      <c r="O82" s="11">
        <f>Tabel4[[#This Row],[Ny pris]]-Tabel4[[#This Row],[Råleje]]</f>
        <v>0</v>
      </c>
      <c r="P82" s="11" t="s">
        <v>24</v>
      </c>
      <c r="Q82" s="11"/>
      <c r="R82" s="5"/>
    </row>
    <row r="83" spans="1:18">
      <c r="A83" s="2" t="s">
        <v>168</v>
      </c>
      <c r="B83" s="5" t="s">
        <v>54</v>
      </c>
      <c r="C83" s="5"/>
      <c r="D83" s="5"/>
      <c r="E83" s="1" t="s">
        <v>55</v>
      </c>
      <c r="F83" s="5"/>
      <c r="G83" s="5"/>
      <c r="H83" s="5"/>
      <c r="I83" s="8">
        <f>Tabel4[[#This Row],[Aconto]]+Tabel4[[#This Row],[Råleje]]</f>
        <v>0</v>
      </c>
      <c r="J83" s="5"/>
      <c r="K83" s="9" t="e">
        <f>(Tabel4[[#This Row],[Råleje]]*12)/Tabel4[[#This Row],[kvm]]</f>
        <v>#DIV/0!</v>
      </c>
      <c r="L83" s="10">
        <v>45323</v>
      </c>
      <c r="M83" s="5"/>
      <c r="N83" s="11" t="e">
        <f>(Tabel4[[#This Row],[Ny pris]]*12)/Tabel4[[#This Row],[kvm]]</f>
        <v>#DIV/0!</v>
      </c>
      <c r="O83" s="11">
        <f>Tabel4[[#This Row],[Ny pris]]-Tabel4[[#This Row],[Råleje]]</f>
        <v>0</v>
      </c>
      <c r="P83" s="11" t="s">
        <v>24</v>
      </c>
      <c r="Q83" s="11"/>
      <c r="R83" s="5"/>
    </row>
    <row r="84" spans="1:18">
      <c r="A84" s="2" t="s">
        <v>169</v>
      </c>
      <c r="B84" s="5" t="s">
        <v>170</v>
      </c>
      <c r="C84" s="5"/>
      <c r="D84" s="5"/>
      <c r="E84" s="1" t="s">
        <v>55</v>
      </c>
      <c r="F84" s="5"/>
      <c r="G84" s="5"/>
      <c r="H84" s="5"/>
      <c r="I84" s="8">
        <f>Tabel4[[#This Row],[Aconto]]+Tabel4[[#This Row],[Råleje]]</f>
        <v>0</v>
      </c>
      <c r="J84" s="5"/>
      <c r="K84" s="9" t="e">
        <f>(Tabel4[[#This Row],[Råleje]]*12)/Tabel4[[#This Row],[kvm]]</f>
        <v>#DIV/0!</v>
      </c>
      <c r="L84" s="10">
        <v>45292</v>
      </c>
      <c r="M84" s="5"/>
      <c r="N84" s="11" t="e">
        <f>(Tabel4[[#This Row],[Ny pris]]*12)/Tabel4[[#This Row],[kvm]]</f>
        <v>#DIV/0!</v>
      </c>
      <c r="O84" s="11">
        <f>Tabel4[[#This Row],[Ny pris]]-Tabel4[[#This Row],[Råleje]]</f>
        <v>0</v>
      </c>
      <c r="P84" s="11" t="s">
        <v>24</v>
      </c>
      <c r="Q84" s="11"/>
      <c r="R84" s="5"/>
    </row>
    <row r="85" spans="1:18">
      <c r="A85" s="2" t="s">
        <v>171</v>
      </c>
      <c r="B85" s="5" t="s">
        <v>112</v>
      </c>
      <c r="C85" s="5"/>
      <c r="D85" s="5"/>
      <c r="E85" s="1" t="s">
        <v>55</v>
      </c>
      <c r="F85" s="5"/>
      <c r="G85" s="5"/>
      <c r="H85" s="5"/>
      <c r="I85" s="8">
        <f>Tabel4[[#This Row],[Aconto]]+Tabel4[[#This Row],[Råleje]]</f>
        <v>0</v>
      </c>
      <c r="J85" s="5"/>
      <c r="K85" s="9" t="e">
        <f>(Tabel4[[#This Row],[Råleje]]*12)/Tabel4[[#This Row],[kvm]]</f>
        <v>#DIV/0!</v>
      </c>
      <c r="L85" s="10">
        <v>45261</v>
      </c>
      <c r="M85" s="5"/>
      <c r="N85" s="11" t="e">
        <f>(Tabel4[[#This Row],[Ny pris]]*12)/Tabel4[[#This Row],[kvm]]</f>
        <v>#DIV/0!</v>
      </c>
      <c r="O85" s="11">
        <f>Tabel4[[#This Row],[Ny pris]]-Tabel4[[#This Row],[Råleje]]</f>
        <v>0</v>
      </c>
      <c r="P85" s="11" t="s">
        <v>24</v>
      </c>
      <c r="Q85" s="11"/>
      <c r="R85" s="5"/>
    </row>
    <row r="86" spans="1:18">
      <c r="A86" s="2" t="s">
        <v>172</v>
      </c>
      <c r="B86" s="5" t="s">
        <v>117</v>
      </c>
      <c r="C86" s="5"/>
      <c r="D86" s="5"/>
      <c r="E86" s="1" t="s">
        <v>55</v>
      </c>
      <c r="F86" s="5"/>
      <c r="G86" s="5"/>
      <c r="H86" s="5"/>
      <c r="I86" s="8">
        <f>Tabel4[[#This Row],[Aconto]]+Tabel4[[#This Row],[Råleje]]</f>
        <v>0</v>
      </c>
      <c r="J86" s="5"/>
      <c r="K86" s="9" t="e">
        <f>(Tabel4[[#This Row],[Råleje]]*12)/Tabel4[[#This Row],[kvm]]</f>
        <v>#DIV/0!</v>
      </c>
      <c r="L86" s="10">
        <v>45231</v>
      </c>
      <c r="M86" s="5"/>
      <c r="N86" s="11" t="e">
        <f>(Tabel4[[#This Row],[Ny pris]]*12)/Tabel4[[#This Row],[kvm]]</f>
        <v>#DIV/0!</v>
      </c>
      <c r="O86" s="11">
        <f>Tabel4[[#This Row],[Ny pris]]-Tabel4[[#This Row],[Råleje]]</f>
        <v>0</v>
      </c>
      <c r="P86" s="11" t="s">
        <v>24</v>
      </c>
      <c r="Q86" s="11"/>
      <c r="R86" s="5"/>
    </row>
    <row r="87" spans="1:18">
      <c r="A87" s="2" t="s">
        <v>173</v>
      </c>
      <c r="B87" s="5" t="s">
        <v>133</v>
      </c>
      <c r="C87" s="5"/>
      <c r="D87" s="5"/>
      <c r="E87" s="1" t="s">
        <v>55</v>
      </c>
      <c r="F87" s="5"/>
      <c r="G87" s="5"/>
      <c r="H87" s="5"/>
      <c r="I87" s="8">
        <f>Tabel4[[#This Row],[Aconto]]+Tabel4[[#This Row],[Råleje]]</f>
        <v>0</v>
      </c>
      <c r="J87" s="5"/>
      <c r="K87" s="9" t="e">
        <f>(Tabel4[[#This Row],[Råleje]]*12)/Tabel4[[#This Row],[kvm]]</f>
        <v>#DIV/0!</v>
      </c>
      <c r="L87" s="10">
        <v>45200</v>
      </c>
      <c r="M87" s="5"/>
      <c r="N87" s="11" t="e">
        <f>(Tabel4[[#This Row],[Ny pris]]*12)/Tabel4[[#This Row],[kvm]]</f>
        <v>#DIV/0!</v>
      </c>
      <c r="O87" s="11">
        <f>Tabel4[[#This Row],[Ny pris]]-Tabel4[[#This Row],[Råleje]]</f>
        <v>0</v>
      </c>
      <c r="P87" s="11" t="s">
        <v>24</v>
      </c>
      <c r="Q87" s="11"/>
      <c r="R87" s="5"/>
    </row>
    <row r="88" spans="1:18">
      <c r="A88" s="2" t="s">
        <v>174</v>
      </c>
      <c r="B88" s="5" t="s">
        <v>58</v>
      </c>
      <c r="C88" s="5"/>
      <c r="D88" s="5"/>
      <c r="E88" s="1" t="s">
        <v>55</v>
      </c>
      <c r="F88" s="5"/>
      <c r="G88" s="5"/>
      <c r="H88" s="5"/>
      <c r="I88" s="8">
        <f>Tabel4[[#This Row],[Aconto]]+Tabel4[[#This Row],[Råleje]]</f>
        <v>0</v>
      </c>
      <c r="J88" s="5"/>
      <c r="K88" s="9" t="e">
        <f>(Tabel4[[#This Row],[Råleje]]*12)/Tabel4[[#This Row],[kvm]]</f>
        <v>#DIV/0!</v>
      </c>
      <c r="L88" s="10">
        <v>45200</v>
      </c>
      <c r="M88" s="5"/>
      <c r="N88" s="11" t="e">
        <f>(Tabel4[[#This Row],[Ny pris]]*12)/Tabel4[[#This Row],[kvm]]</f>
        <v>#DIV/0!</v>
      </c>
      <c r="O88" s="11">
        <f>Tabel4[[#This Row],[Ny pris]]-Tabel4[[#This Row],[Råleje]]</f>
        <v>0</v>
      </c>
      <c r="P88" s="11" t="s">
        <v>24</v>
      </c>
      <c r="Q88" s="11"/>
      <c r="R88" s="5"/>
    </row>
    <row r="89" spans="1:18">
      <c r="A89" s="2" t="s">
        <v>175</v>
      </c>
      <c r="B89" s="5" t="s">
        <v>72</v>
      </c>
      <c r="C89" s="5"/>
      <c r="D89" s="5"/>
      <c r="E89" s="1" t="s">
        <v>55</v>
      </c>
      <c r="F89" s="5"/>
      <c r="G89" s="5"/>
      <c r="H89" s="5"/>
      <c r="I89" s="8">
        <f>Tabel4[[#This Row],[Aconto]]+Tabel4[[#This Row],[Råleje]]</f>
        <v>0</v>
      </c>
      <c r="J89" s="5"/>
      <c r="K89" s="9" t="e">
        <f>(Tabel4[[#This Row],[Råleje]]*12)/Tabel4[[#This Row],[kvm]]</f>
        <v>#DIV/0!</v>
      </c>
      <c r="L89" s="10">
        <v>45170</v>
      </c>
      <c r="M89" s="5"/>
      <c r="N89" s="11" t="e">
        <f>(Tabel4[[#This Row],[Ny pris]]*12)/Tabel4[[#This Row],[kvm]]</f>
        <v>#DIV/0!</v>
      </c>
      <c r="O89" s="11">
        <f>Tabel4[[#This Row],[Ny pris]]-Tabel4[[#This Row],[Råleje]]</f>
        <v>0</v>
      </c>
      <c r="P89" s="11" t="s">
        <v>24</v>
      </c>
      <c r="Q89" s="11"/>
      <c r="R89" s="5"/>
    </row>
    <row r="90" spans="1:18">
      <c r="A90" s="1" t="s">
        <v>176</v>
      </c>
      <c r="B90" s="5" t="s">
        <v>151</v>
      </c>
      <c r="C90" s="5"/>
      <c r="D90" s="5"/>
      <c r="E90" s="1" t="s">
        <v>55</v>
      </c>
      <c r="F90" s="5"/>
      <c r="G90" s="5"/>
      <c r="H90" s="5"/>
      <c r="I90" s="8">
        <f>Tabel4[[#This Row],[Aconto]]+Tabel4[[#This Row],[Råleje]]</f>
        <v>0</v>
      </c>
      <c r="J90" s="5"/>
      <c r="K90" s="9" t="e">
        <f>(Tabel4[[#This Row],[Råleje]]*12)/Tabel4[[#This Row],[kvm]]</f>
        <v>#DIV/0!</v>
      </c>
      <c r="L90" s="10">
        <v>45170</v>
      </c>
      <c r="M90" s="5"/>
      <c r="N90" s="11" t="e">
        <f>(Tabel4[[#This Row],[Ny pris]]*12)/Tabel4[[#This Row],[kvm]]</f>
        <v>#DIV/0!</v>
      </c>
      <c r="O90" s="11">
        <f>Tabel4[[#This Row],[Ny pris]]-Tabel4[[#This Row],[Råleje]]</f>
        <v>0</v>
      </c>
      <c r="P90" s="11" t="s">
        <v>24</v>
      </c>
      <c r="Q90" s="11"/>
      <c r="R90" s="5"/>
    </row>
    <row r="91" spans="1:18">
      <c r="A91" s="2" t="s">
        <v>177</v>
      </c>
      <c r="B91" s="5" t="s">
        <v>64</v>
      </c>
      <c r="C91" s="5"/>
      <c r="D91" s="5"/>
      <c r="E91" s="1" t="s">
        <v>55</v>
      </c>
      <c r="F91" s="5"/>
      <c r="G91" s="5"/>
      <c r="H91" s="5"/>
      <c r="I91" s="8">
        <f>Tabel4[[#This Row],[Aconto]]+Tabel4[[#This Row],[Råleje]]</f>
        <v>0</v>
      </c>
      <c r="J91" s="5"/>
      <c r="K91" s="9" t="e">
        <f>(Tabel4[[#This Row],[Råleje]]*12)/Tabel4[[#This Row],[kvm]]</f>
        <v>#DIV/0!</v>
      </c>
      <c r="L91" s="10">
        <v>45139</v>
      </c>
      <c r="M91" s="5"/>
      <c r="N91" s="11" t="e">
        <f>(Tabel4[[#This Row],[Ny pris]]*12)/Tabel4[[#This Row],[kvm]]</f>
        <v>#DIV/0!</v>
      </c>
      <c r="O91" s="11">
        <f>Tabel4[[#This Row],[Ny pris]]-Tabel4[[#This Row],[Råleje]]</f>
        <v>0</v>
      </c>
      <c r="P91" s="11" t="s">
        <v>24</v>
      </c>
      <c r="Q91" s="11"/>
      <c r="R91" s="5"/>
    </row>
    <row r="92" spans="1:18">
      <c r="A92" s="2" t="s">
        <v>178</v>
      </c>
      <c r="B92" s="5" t="s">
        <v>80</v>
      </c>
      <c r="C92" s="5"/>
      <c r="D92" s="5"/>
      <c r="E92" s="1" t="s">
        <v>55</v>
      </c>
      <c r="F92" s="5"/>
      <c r="G92" s="5"/>
      <c r="H92" s="5"/>
      <c r="I92" s="8">
        <f>Tabel4[[#This Row],[Aconto]]+Tabel4[[#This Row],[Råleje]]</f>
        <v>0</v>
      </c>
      <c r="J92" s="5"/>
      <c r="K92" s="9" t="e">
        <f>(Tabel4[[#This Row],[Råleje]]*12)/Tabel4[[#This Row],[kvm]]</f>
        <v>#DIV/0!</v>
      </c>
      <c r="L92" s="10">
        <v>45139</v>
      </c>
      <c r="M92" s="5"/>
      <c r="N92" s="11" t="e">
        <f>(Tabel4[[#This Row],[Ny pris]]*12)/Tabel4[[#This Row],[kvm]]</f>
        <v>#DIV/0!</v>
      </c>
      <c r="O92" s="11">
        <f>Tabel4[[#This Row],[Ny pris]]-Tabel4[[#This Row],[Råleje]]</f>
        <v>0</v>
      </c>
      <c r="P92" s="11" t="s">
        <v>24</v>
      </c>
      <c r="Q92" s="11"/>
      <c r="R92" s="5"/>
    </row>
    <row r="93" spans="1:18">
      <c r="A93" s="2" t="s">
        <v>179</v>
      </c>
      <c r="B93" s="5" t="s">
        <v>147</v>
      </c>
      <c r="C93" s="5"/>
      <c r="D93" s="5"/>
      <c r="E93" s="1" t="s">
        <v>55</v>
      </c>
      <c r="F93" s="5"/>
      <c r="G93" s="5"/>
      <c r="H93" s="5"/>
      <c r="I93" s="8">
        <f>Tabel4[[#This Row],[Aconto]]+Tabel4[[#This Row],[Råleje]]</f>
        <v>0</v>
      </c>
      <c r="J93" s="5"/>
      <c r="K93" s="9" t="e">
        <f>(Tabel4[[#This Row],[Råleje]]*12)/Tabel4[[#This Row],[kvm]]</f>
        <v>#DIV/0!</v>
      </c>
      <c r="L93" s="10">
        <v>45139</v>
      </c>
      <c r="M93" s="5"/>
      <c r="N93" s="11" t="e">
        <f>(Tabel4[[#This Row],[Ny pris]]*12)/Tabel4[[#This Row],[kvm]]</f>
        <v>#DIV/0!</v>
      </c>
      <c r="O93" s="11">
        <f>Tabel4[[#This Row],[Ny pris]]-Tabel4[[#This Row],[Råleje]]</f>
        <v>0</v>
      </c>
      <c r="P93" s="11" t="s">
        <v>24</v>
      </c>
      <c r="Q93" s="11"/>
      <c r="R93" s="5"/>
    </row>
    <row r="94" spans="1:18">
      <c r="A94" s="2" t="s">
        <v>180</v>
      </c>
      <c r="B94" s="5" t="s">
        <v>103</v>
      </c>
      <c r="C94" s="5"/>
      <c r="D94" s="5"/>
      <c r="E94" s="1" t="s">
        <v>55</v>
      </c>
      <c r="F94" s="5"/>
      <c r="G94" s="5"/>
      <c r="H94" s="5"/>
      <c r="I94" s="8">
        <f>Tabel4[[#This Row],[Aconto]]+Tabel4[[#This Row],[Råleje]]</f>
        <v>0</v>
      </c>
      <c r="J94" s="5"/>
      <c r="K94" s="9" t="e">
        <f>(Tabel4[[#This Row],[Råleje]]*12)/Tabel4[[#This Row],[kvm]]</f>
        <v>#DIV/0!</v>
      </c>
      <c r="L94" s="10">
        <v>45108</v>
      </c>
      <c r="M94" s="5"/>
      <c r="N94" s="11" t="e">
        <f>(Tabel4[[#This Row],[Ny pris]]*12)/Tabel4[[#This Row],[kvm]]</f>
        <v>#DIV/0!</v>
      </c>
      <c r="O94" s="11">
        <f>Tabel4[[#This Row],[Ny pris]]-Tabel4[[#This Row],[Råleje]]</f>
        <v>0</v>
      </c>
      <c r="P94" s="11" t="s">
        <v>24</v>
      </c>
      <c r="Q94" s="11"/>
      <c r="R94" s="5"/>
    </row>
    <row r="95" spans="1:18">
      <c r="A95" s="2" t="s">
        <v>181</v>
      </c>
      <c r="B95" s="5" t="s">
        <v>58</v>
      </c>
      <c r="C95" s="5"/>
      <c r="D95" s="5"/>
      <c r="E95" s="1" t="s">
        <v>55</v>
      </c>
      <c r="F95" s="5"/>
      <c r="G95" s="5"/>
      <c r="H95" s="5"/>
      <c r="I95" s="8">
        <f>Tabel4[[#This Row],[Aconto]]+Tabel4[[#This Row],[Råleje]]</f>
        <v>0</v>
      </c>
      <c r="J95" s="5"/>
      <c r="K95" s="9" t="e">
        <f>(Tabel4[[#This Row],[Råleje]]*12)/Tabel4[[#This Row],[kvm]]</f>
        <v>#DIV/0!</v>
      </c>
      <c r="L95" s="10">
        <v>45108</v>
      </c>
      <c r="M95" s="5"/>
      <c r="N95" s="11" t="e">
        <f>(Tabel4[[#This Row],[Ny pris]]*12)/Tabel4[[#This Row],[kvm]]</f>
        <v>#DIV/0!</v>
      </c>
      <c r="O95" s="11">
        <f>Tabel4[[#This Row],[Ny pris]]-Tabel4[[#This Row],[Råleje]]</f>
        <v>0</v>
      </c>
      <c r="P95" s="11" t="s">
        <v>24</v>
      </c>
      <c r="Q95" s="11"/>
      <c r="R95" s="5"/>
    </row>
    <row r="96" spans="1:18">
      <c r="A96" s="2" t="s">
        <v>182</v>
      </c>
      <c r="B96" s="5" t="s">
        <v>94</v>
      </c>
      <c r="C96" s="5"/>
      <c r="D96" s="5"/>
      <c r="E96" s="1" t="s">
        <v>55</v>
      </c>
      <c r="F96" s="5"/>
      <c r="G96" s="5"/>
      <c r="H96" s="5"/>
      <c r="I96" s="8">
        <f>Tabel4[[#This Row],[Aconto]]+Tabel4[[#This Row],[Råleje]]</f>
        <v>0</v>
      </c>
      <c r="J96" s="5"/>
      <c r="K96" s="9" t="e">
        <f>(Tabel4[[#This Row],[Råleje]]*12)/Tabel4[[#This Row],[kvm]]</f>
        <v>#DIV/0!</v>
      </c>
      <c r="L96" s="10">
        <v>45078</v>
      </c>
      <c r="M96" s="5"/>
      <c r="N96" s="11" t="e">
        <f>(Tabel4[[#This Row],[Ny pris]]*12)/Tabel4[[#This Row],[kvm]]</f>
        <v>#DIV/0!</v>
      </c>
      <c r="O96" s="11">
        <f>Tabel4[[#This Row],[Ny pris]]-Tabel4[[#This Row],[Råleje]]</f>
        <v>0</v>
      </c>
      <c r="P96" s="11" t="s">
        <v>24</v>
      </c>
      <c r="Q96" s="11"/>
      <c r="R96" s="5"/>
    </row>
    <row r="97" spans="1:18">
      <c r="A97" s="3" t="s">
        <v>183</v>
      </c>
      <c r="B97" s="5" t="s">
        <v>58</v>
      </c>
      <c r="C97" s="5"/>
      <c r="D97" s="5"/>
      <c r="E97" s="1" t="s">
        <v>55</v>
      </c>
      <c r="F97" s="5"/>
      <c r="G97" s="5"/>
      <c r="H97" s="5"/>
      <c r="I97" s="8">
        <f>Tabel4[[#This Row],[Aconto]]+Tabel4[[#This Row],[Råleje]]</f>
        <v>0</v>
      </c>
      <c r="J97" s="5"/>
      <c r="K97" s="9" t="e">
        <f>(Tabel4[[#This Row],[Råleje]]*12)/Tabel4[[#This Row],[kvm]]</f>
        <v>#DIV/0!</v>
      </c>
      <c r="L97" s="10">
        <v>45047</v>
      </c>
      <c r="M97" s="5"/>
      <c r="N97" s="11" t="e">
        <f>(Tabel4[[#This Row],[Ny pris]]*12)/Tabel4[[#This Row],[kvm]]</f>
        <v>#DIV/0!</v>
      </c>
      <c r="O97" s="11">
        <f>Tabel4[[#This Row],[Ny pris]]-Tabel4[[#This Row],[Råleje]]</f>
        <v>0</v>
      </c>
      <c r="P97" s="11" t="s">
        <v>24</v>
      </c>
      <c r="Q97" s="11"/>
      <c r="R97" s="5"/>
    </row>
    <row r="98" spans="1:18">
      <c r="A98" s="2" t="s">
        <v>184</v>
      </c>
      <c r="B98" s="5" t="s">
        <v>170</v>
      </c>
      <c r="C98" s="5"/>
      <c r="D98" s="5"/>
      <c r="E98" s="1" t="s">
        <v>55</v>
      </c>
      <c r="F98" s="5"/>
      <c r="G98" s="5"/>
      <c r="H98" s="5"/>
      <c r="I98" s="8">
        <f>Tabel4[[#This Row],[Aconto]]+Tabel4[[#This Row],[Råleje]]</f>
        <v>0</v>
      </c>
      <c r="J98" s="5"/>
      <c r="K98" s="9" t="e">
        <f>(Tabel4[[#This Row],[Råleje]]*12)/Tabel4[[#This Row],[kvm]]</f>
        <v>#DIV/0!</v>
      </c>
      <c r="L98" s="10">
        <v>44986</v>
      </c>
      <c r="M98" s="5"/>
      <c r="N98" s="11" t="e">
        <f>(Tabel4[[#This Row],[Ny pris]]*12)/Tabel4[[#This Row],[kvm]]</f>
        <v>#DIV/0!</v>
      </c>
      <c r="O98" s="11">
        <f>Tabel4[[#This Row],[Ny pris]]-Tabel4[[#This Row],[Råleje]]</f>
        <v>0</v>
      </c>
      <c r="P98" s="11" t="s">
        <v>24</v>
      </c>
      <c r="Q98" s="11"/>
      <c r="R98" s="5"/>
    </row>
    <row r="99" spans="1:18">
      <c r="A99" s="2" t="s">
        <v>185</v>
      </c>
      <c r="B99" s="5" t="s">
        <v>23</v>
      </c>
      <c r="C99" s="5"/>
      <c r="D99" s="5"/>
      <c r="E99" s="1" t="s">
        <v>55</v>
      </c>
      <c r="F99" s="5"/>
      <c r="G99" s="5"/>
      <c r="H99" s="5"/>
      <c r="I99" s="8">
        <f>Tabel4[[#This Row],[Aconto]]+Tabel4[[#This Row],[Råleje]]</f>
        <v>0</v>
      </c>
      <c r="J99" s="5"/>
      <c r="K99" s="9" t="e">
        <f>(Tabel4[[#This Row],[Råleje]]*12)/Tabel4[[#This Row],[kvm]]</f>
        <v>#DIV/0!</v>
      </c>
      <c r="L99" s="10">
        <v>44986</v>
      </c>
      <c r="M99" s="5"/>
      <c r="N99" s="11" t="e">
        <f>(Tabel4[[#This Row],[Ny pris]]*12)/Tabel4[[#This Row],[kvm]]</f>
        <v>#DIV/0!</v>
      </c>
      <c r="O99" s="11">
        <f>Tabel4[[#This Row],[Ny pris]]-Tabel4[[#This Row],[Råleje]]</f>
        <v>0</v>
      </c>
      <c r="P99" s="11" t="s">
        <v>24</v>
      </c>
      <c r="Q99" s="11"/>
      <c r="R99" s="5"/>
    </row>
    <row r="100" spans="1:18">
      <c r="A100" s="2" t="s">
        <v>186</v>
      </c>
      <c r="B100" s="5" t="s">
        <v>170</v>
      </c>
      <c r="C100" s="5"/>
      <c r="D100" s="5"/>
      <c r="E100" s="1" t="s">
        <v>55</v>
      </c>
      <c r="F100" s="5"/>
      <c r="G100" s="5"/>
      <c r="H100" s="5"/>
      <c r="I100" s="8">
        <f>Tabel4[[#This Row],[Aconto]]+Tabel4[[#This Row],[Råleje]]</f>
        <v>0</v>
      </c>
      <c r="J100" s="5"/>
      <c r="K100" s="9" t="e">
        <f>(Tabel4[[#This Row],[Råleje]]*12)/Tabel4[[#This Row],[kvm]]</f>
        <v>#DIV/0!</v>
      </c>
      <c r="L100" s="10">
        <v>44972</v>
      </c>
      <c r="M100" s="5"/>
      <c r="N100" s="11" t="e">
        <f>(Tabel4[[#This Row],[Ny pris]]*12)/Tabel4[[#This Row],[kvm]]</f>
        <v>#DIV/0!</v>
      </c>
      <c r="O100" s="11">
        <f>Tabel4[[#This Row],[Ny pris]]-Tabel4[[#This Row],[Råleje]]</f>
        <v>0</v>
      </c>
      <c r="P100" s="11" t="s">
        <v>24</v>
      </c>
      <c r="Q100" s="11"/>
      <c r="R100" s="5"/>
    </row>
    <row r="101" spans="1:18">
      <c r="A101" s="2" t="s">
        <v>187</v>
      </c>
      <c r="B101" s="5" t="s">
        <v>103</v>
      </c>
      <c r="C101" s="5"/>
      <c r="D101" s="5"/>
      <c r="E101" s="1" t="s">
        <v>55</v>
      </c>
      <c r="F101" s="5"/>
      <c r="G101" s="5"/>
      <c r="H101" s="5"/>
      <c r="I101" s="8">
        <f>Tabel4[[#This Row],[Aconto]]+Tabel4[[#This Row],[Råleje]]</f>
        <v>0</v>
      </c>
      <c r="J101" s="5"/>
      <c r="K101" s="9" t="e">
        <f>(Tabel4[[#This Row],[Råleje]]*12)/Tabel4[[#This Row],[kvm]]</f>
        <v>#DIV/0!</v>
      </c>
      <c r="L101" s="10">
        <v>44927</v>
      </c>
      <c r="M101" s="5"/>
      <c r="N101" s="11" t="e">
        <f>(Tabel4[[#This Row],[Ny pris]]*12)/Tabel4[[#This Row],[kvm]]</f>
        <v>#DIV/0!</v>
      </c>
      <c r="O101" s="11">
        <f>Tabel4[[#This Row],[Ny pris]]-Tabel4[[#This Row],[Råleje]]</f>
        <v>0</v>
      </c>
      <c r="P101" s="11" t="s">
        <v>24</v>
      </c>
      <c r="Q101" s="11"/>
      <c r="R101" s="5"/>
    </row>
    <row r="102" spans="1:18">
      <c r="A102" s="2" t="s">
        <v>188</v>
      </c>
      <c r="B102" s="5" t="s">
        <v>80</v>
      </c>
      <c r="C102" s="5"/>
      <c r="D102" s="5"/>
      <c r="E102" s="1" t="s">
        <v>55</v>
      </c>
      <c r="F102" s="5"/>
      <c r="G102" s="5"/>
      <c r="H102" s="5"/>
      <c r="I102" s="8">
        <f>Tabel4[[#This Row],[Aconto]]+Tabel4[[#This Row],[Råleje]]</f>
        <v>0</v>
      </c>
      <c r="J102" s="5"/>
      <c r="K102" s="9" t="e">
        <f>(Tabel4[[#This Row],[Råleje]]*12)/Tabel4[[#This Row],[kvm]]</f>
        <v>#DIV/0!</v>
      </c>
      <c r="L102" s="10">
        <v>44880</v>
      </c>
      <c r="M102" s="5"/>
      <c r="N102" s="11" t="e">
        <f>(Tabel4[[#This Row],[Ny pris]]*12)/Tabel4[[#This Row],[kvm]]</f>
        <v>#DIV/0!</v>
      </c>
      <c r="O102" s="11">
        <f>Tabel4[[#This Row],[Ny pris]]-Tabel4[[#This Row],[Råleje]]</f>
        <v>0</v>
      </c>
      <c r="P102" s="11" t="s">
        <v>24</v>
      </c>
      <c r="Q102" s="11"/>
      <c r="R102" s="5"/>
    </row>
    <row r="103" spans="1:18">
      <c r="A103" s="2" t="s">
        <v>189</v>
      </c>
      <c r="B103" s="5" t="s">
        <v>23</v>
      </c>
      <c r="C103" s="5"/>
      <c r="D103" s="5"/>
      <c r="E103" s="1" t="s">
        <v>55</v>
      </c>
      <c r="F103" s="5"/>
      <c r="G103" s="5"/>
      <c r="H103" s="5"/>
      <c r="I103" s="8">
        <f>Tabel4[[#This Row],[Aconto]]+Tabel4[[#This Row],[Råleje]]</f>
        <v>0</v>
      </c>
      <c r="J103" s="5"/>
      <c r="K103" s="9" t="e">
        <f>(Tabel4[[#This Row],[Råleje]]*12)/Tabel4[[#This Row],[kvm]]</f>
        <v>#DIV/0!</v>
      </c>
      <c r="L103" s="10">
        <v>44866</v>
      </c>
      <c r="M103" s="5"/>
      <c r="N103" s="11" t="e">
        <f>(Tabel4[[#This Row],[Ny pris]]*12)/Tabel4[[#This Row],[kvm]]</f>
        <v>#DIV/0!</v>
      </c>
      <c r="O103" s="11">
        <f>Tabel4[[#This Row],[Ny pris]]-Tabel4[[#This Row],[Råleje]]</f>
        <v>0</v>
      </c>
      <c r="P103" s="11" t="s">
        <v>24</v>
      </c>
      <c r="Q103" s="11"/>
      <c r="R103" s="5"/>
    </row>
    <row r="104" spans="1:18">
      <c r="A104" s="2" t="s">
        <v>190</v>
      </c>
      <c r="B104" s="5" t="s">
        <v>117</v>
      </c>
      <c r="C104" s="5"/>
      <c r="D104" s="5"/>
      <c r="E104" s="1" t="s">
        <v>55</v>
      </c>
      <c r="F104" s="5"/>
      <c r="G104" s="5"/>
      <c r="H104" s="5"/>
      <c r="I104" s="8">
        <f>Tabel4[[#This Row],[Aconto]]+Tabel4[[#This Row],[Råleje]]</f>
        <v>0</v>
      </c>
      <c r="J104" s="5"/>
      <c r="K104" s="9" t="e">
        <f>(Tabel4[[#This Row],[Råleje]]*12)/Tabel4[[#This Row],[kvm]]</f>
        <v>#DIV/0!</v>
      </c>
      <c r="L104" s="10">
        <v>44774</v>
      </c>
      <c r="M104" s="5"/>
      <c r="N104" s="11" t="e">
        <f>(Tabel4[[#This Row],[Ny pris]]*12)/Tabel4[[#This Row],[kvm]]</f>
        <v>#DIV/0!</v>
      </c>
      <c r="O104" s="11">
        <f>Tabel4[[#This Row],[Ny pris]]-Tabel4[[#This Row],[Råleje]]</f>
        <v>0</v>
      </c>
      <c r="P104" s="11" t="s">
        <v>24</v>
      </c>
      <c r="Q104" s="11"/>
      <c r="R104" s="5"/>
    </row>
    <row r="105" spans="1:18">
      <c r="A105" s="1" t="s">
        <v>191</v>
      </c>
      <c r="B105" s="5" t="s">
        <v>136</v>
      </c>
      <c r="C105" s="5"/>
      <c r="D105" s="5"/>
      <c r="E105" s="1" t="s">
        <v>55</v>
      </c>
      <c r="F105" s="5"/>
      <c r="G105" s="5"/>
      <c r="H105" s="5"/>
      <c r="I105" s="8">
        <f>Tabel4[[#This Row],[Aconto]]+Tabel4[[#This Row],[Råleje]]</f>
        <v>0</v>
      </c>
      <c r="J105" s="5"/>
      <c r="K105" s="9" t="e">
        <f>(Tabel4[[#This Row],[Råleje]]*12)/Tabel4[[#This Row],[kvm]]</f>
        <v>#DIV/0!</v>
      </c>
      <c r="L105" s="10">
        <v>44409</v>
      </c>
      <c r="M105" s="5"/>
      <c r="N105" s="11" t="e">
        <f>(Tabel4[[#This Row],[Ny pris]]*12)/Tabel4[[#This Row],[kvm]]</f>
        <v>#DIV/0!</v>
      </c>
      <c r="O105" s="11">
        <f>Tabel4[[#This Row],[Ny pris]]-Tabel4[[#This Row],[Råleje]]</f>
        <v>0</v>
      </c>
      <c r="P105" s="11" t="s">
        <v>24</v>
      </c>
      <c r="Q105" s="11"/>
      <c r="R105" s="5"/>
    </row>
    <row r="106" spans="1:18">
      <c r="A106" s="2" t="s">
        <v>192</v>
      </c>
      <c r="B106" s="5" t="s">
        <v>69</v>
      </c>
      <c r="C106" s="5"/>
      <c r="D106" s="5"/>
      <c r="E106" s="1" t="s">
        <v>55</v>
      </c>
      <c r="F106" s="5"/>
      <c r="G106" s="5"/>
      <c r="H106" s="5"/>
      <c r="I106" s="8">
        <f>Tabel4[[#This Row],[Aconto]]+Tabel4[[#This Row],[Råleje]]</f>
        <v>0</v>
      </c>
      <c r="J106" s="5"/>
      <c r="K106" s="9" t="e">
        <f>(Tabel4[[#This Row],[Råleje]]*12)/Tabel4[[#This Row],[kvm]]</f>
        <v>#DIV/0!</v>
      </c>
      <c r="L106" s="10">
        <v>44317</v>
      </c>
      <c r="M106" s="5"/>
      <c r="N106" s="11" t="e">
        <f>(Tabel4[[#This Row],[Ny pris]]*12)/Tabel4[[#This Row],[kvm]]</f>
        <v>#DIV/0!</v>
      </c>
      <c r="O106" s="11">
        <f>Tabel4[[#This Row],[Ny pris]]-Tabel4[[#This Row],[Råleje]]</f>
        <v>0</v>
      </c>
      <c r="P106" s="11" t="s">
        <v>24</v>
      </c>
      <c r="Q106" s="11"/>
      <c r="R106" s="5"/>
    </row>
    <row r="107" spans="1:18">
      <c r="A107" s="2" t="s">
        <v>193</v>
      </c>
      <c r="B107" s="5" t="s">
        <v>136</v>
      </c>
      <c r="C107" s="5"/>
      <c r="D107" s="5"/>
      <c r="E107" s="1" t="s">
        <v>55</v>
      </c>
      <c r="F107" s="5"/>
      <c r="G107" s="5"/>
      <c r="H107" s="5"/>
      <c r="I107" s="8">
        <f>Tabel4[[#This Row],[Aconto]]+Tabel4[[#This Row],[Råleje]]</f>
        <v>0</v>
      </c>
      <c r="J107" s="5"/>
      <c r="K107" s="9" t="e">
        <f>(Tabel4[[#This Row],[Råleje]]*12)/Tabel4[[#This Row],[kvm]]</f>
        <v>#DIV/0!</v>
      </c>
      <c r="L107" s="10">
        <v>44166</v>
      </c>
      <c r="M107" s="5"/>
      <c r="N107" s="11" t="e">
        <f>(Tabel4[[#This Row],[Ny pris]]*12)/Tabel4[[#This Row],[kvm]]</f>
        <v>#DIV/0!</v>
      </c>
      <c r="O107" s="11">
        <f>Tabel4[[#This Row],[Ny pris]]-Tabel4[[#This Row],[Råleje]]</f>
        <v>0</v>
      </c>
      <c r="P107" s="11" t="s">
        <v>24</v>
      </c>
      <c r="Q107" s="11"/>
      <c r="R107" s="5"/>
    </row>
    <row r="108" spans="1:18">
      <c r="A108" s="1" t="s">
        <v>194</v>
      </c>
      <c r="B108" s="5" t="s">
        <v>94</v>
      </c>
      <c r="C108" s="5"/>
      <c r="D108" s="5"/>
      <c r="E108" s="1" t="s">
        <v>55</v>
      </c>
      <c r="F108" s="5"/>
      <c r="G108" s="5"/>
      <c r="H108" s="5"/>
      <c r="I108" s="8">
        <f>Tabel4[[#This Row],[Aconto]]+Tabel4[[#This Row],[Råleje]]</f>
        <v>0</v>
      </c>
      <c r="J108" s="5"/>
      <c r="K108" s="9" t="e">
        <f>(Tabel4[[#This Row],[Råleje]]*12)/Tabel4[[#This Row],[kvm]]</f>
        <v>#DIV/0!</v>
      </c>
      <c r="L108" s="10">
        <v>44136</v>
      </c>
      <c r="M108" s="5"/>
      <c r="N108" s="11" t="e">
        <f>(Tabel4[[#This Row],[Ny pris]]*12)/Tabel4[[#This Row],[kvm]]</f>
        <v>#DIV/0!</v>
      </c>
      <c r="O108" s="11">
        <f>Tabel4[[#This Row],[Ny pris]]-Tabel4[[#This Row],[Råleje]]</f>
        <v>0</v>
      </c>
      <c r="P108" s="11" t="s">
        <v>24</v>
      </c>
      <c r="Q108" s="11"/>
      <c r="R108" s="5"/>
    </row>
    <row r="109" spans="1:18">
      <c r="A109" s="2" t="s">
        <v>195</v>
      </c>
      <c r="B109" s="5" t="s">
        <v>103</v>
      </c>
      <c r="C109" s="5"/>
      <c r="D109" s="5"/>
      <c r="E109" s="1" t="s">
        <v>55</v>
      </c>
      <c r="F109" s="5"/>
      <c r="G109" s="5"/>
      <c r="H109" s="5"/>
      <c r="I109" s="8">
        <f>Tabel4[[#This Row],[Aconto]]+Tabel4[[#This Row],[Råleje]]</f>
        <v>0</v>
      </c>
      <c r="J109" s="5"/>
      <c r="K109" s="9" t="e">
        <f>(Tabel4[[#This Row],[Råleje]]*12)/Tabel4[[#This Row],[kvm]]</f>
        <v>#DIV/0!</v>
      </c>
      <c r="L109" s="10">
        <v>44105</v>
      </c>
      <c r="M109" s="5"/>
      <c r="N109" s="11" t="e">
        <f>(Tabel4[[#This Row],[Ny pris]]*12)/Tabel4[[#This Row],[kvm]]</f>
        <v>#DIV/0!</v>
      </c>
      <c r="O109" s="11">
        <f>Tabel4[[#This Row],[Ny pris]]-Tabel4[[#This Row],[Råleje]]</f>
        <v>0</v>
      </c>
      <c r="P109" s="11" t="s">
        <v>24</v>
      </c>
      <c r="Q109" s="11"/>
      <c r="R109" s="5"/>
    </row>
    <row r="110" spans="1:18">
      <c r="A110" s="2" t="s">
        <v>196</v>
      </c>
      <c r="B110" s="5" t="s">
        <v>197</v>
      </c>
      <c r="C110" s="5"/>
      <c r="D110" s="5"/>
      <c r="E110" s="1" t="s">
        <v>55</v>
      </c>
      <c r="F110" s="5"/>
      <c r="G110" s="5"/>
      <c r="H110" s="5"/>
      <c r="I110" s="8">
        <f>Tabel4[[#This Row],[Aconto]]+Tabel4[[#This Row],[Råleje]]</f>
        <v>0</v>
      </c>
      <c r="J110" s="5"/>
      <c r="K110" s="9" t="e">
        <f>(Tabel4[[#This Row],[Råleje]]*12)/Tabel4[[#This Row],[kvm]]</f>
        <v>#DIV/0!</v>
      </c>
      <c r="L110" s="10">
        <v>44105</v>
      </c>
      <c r="M110" s="5"/>
      <c r="N110" s="11" t="e">
        <f>(Tabel4[[#This Row],[Ny pris]]*12)/Tabel4[[#This Row],[kvm]]</f>
        <v>#DIV/0!</v>
      </c>
      <c r="O110" s="11">
        <f>Tabel4[[#This Row],[Ny pris]]-Tabel4[[#This Row],[Råleje]]</f>
        <v>0</v>
      </c>
      <c r="P110" s="11" t="s">
        <v>24</v>
      </c>
      <c r="Q110" s="11"/>
      <c r="R110" s="5"/>
    </row>
    <row r="111" spans="1:18">
      <c r="A111" s="2" t="s">
        <v>198</v>
      </c>
      <c r="B111" s="5" t="s">
        <v>133</v>
      </c>
      <c r="C111" s="5"/>
      <c r="D111" s="5"/>
      <c r="E111" s="1" t="s">
        <v>55</v>
      </c>
      <c r="F111" s="5"/>
      <c r="G111" s="5"/>
      <c r="H111" s="5"/>
      <c r="I111" s="8">
        <f>Tabel4[[#This Row],[Aconto]]+Tabel4[[#This Row],[Råleje]]</f>
        <v>0</v>
      </c>
      <c r="J111" s="5"/>
      <c r="K111" s="9" t="e">
        <f>(Tabel4[[#This Row],[Råleje]]*12)/Tabel4[[#This Row],[kvm]]</f>
        <v>#DIV/0!</v>
      </c>
      <c r="L111" s="10">
        <v>44075</v>
      </c>
      <c r="M111" s="5"/>
      <c r="N111" s="11" t="e">
        <f>(Tabel4[[#This Row],[Ny pris]]*12)/Tabel4[[#This Row],[kvm]]</f>
        <v>#DIV/0!</v>
      </c>
      <c r="O111" s="11">
        <f>Tabel4[[#This Row],[Ny pris]]-Tabel4[[#This Row],[Råleje]]</f>
        <v>0</v>
      </c>
      <c r="P111" s="11" t="s">
        <v>24</v>
      </c>
      <c r="Q111" s="11"/>
      <c r="R111" s="5"/>
    </row>
    <row r="112" spans="1:18">
      <c r="A112" s="1" t="s">
        <v>199</v>
      </c>
      <c r="B112" s="5" t="s">
        <v>58</v>
      </c>
      <c r="C112" s="5"/>
      <c r="D112" s="5"/>
      <c r="E112" s="1" t="s">
        <v>55</v>
      </c>
      <c r="F112" s="5"/>
      <c r="G112" s="5"/>
      <c r="H112" s="5"/>
      <c r="I112" s="8">
        <f>Tabel4[[#This Row],[Aconto]]+Tabel4[[#This Row],[Råleje]]</f>
        <v>0</v>
      </c>
      <c r="J112" s="5"/>
      <c r="K112" s="9" t="e">
        <f>(Tabel4[[#This Row],[Råleje]]*12)/Tabel4[[#This Row],[kvm]]</f>
        <v>#DIV/0!</v>
      </c>
      <c r="L112" s="10">
        <v>43862</v>
      </c>
      <c r="M112" s="5"/>
      <c r="N112" s="11" t="e">
        <f>(Tabel4[[#This Row],[Ny pris]]*12)/Tabel4[[#This Row],[kvm]]</f>
        <v>#DIV/0!</v>
      </c>
      <c r="O112" s="11">
        <f>Tabel4[[#This Row],[Ny pris]]-Tabel4[[#This Row],[Råleje]]</f>
        <v>0</v>
      </c>
      <c r="P112" s="11" t="s">
        <v>24</v>
      </c>
      <c r="Q112" s="11"/>
      <c r="R112" s="5"/>
    </row>
    <row r="113" spans="1:18">
      <c r="A113" s="2" t="s">
        <v>200</v>
      </c>
      <c r="B113" s="5" t="s">
        <v>36</v>
      </c>
      <c r="C113" s="5"/>
      <c r="D113" s="5"/>
      <c r="E113" s="1" t="s">
        <v>55</v>
      </c>
      <c r="F113" s="5"/>
      <c r="G113" s="5"/>
      <c r="H113" s="5"/>
      <c r="I113" s="8">
        <f>Tabel4[[#This Row],[Aconto]]+Tabel4[[#This Row],[Råleje]]</f>
        <v>0</v>
      </c>
      <c r="J113" s="5"/>
      <c r="K113" s="9" t="e">
        <f>(Tabel4[[#This Row],[Råleje]]*12)/Tabel4[[#This Row],[kvm]]</f>
        <v>#DIV/0!</v>
      </c>
      <c r="L113" s="10">
        <v>43556</v>
      </c>
      <c r="M113" s="5"/>
      <c r="N113" s="11" t="e">
        <f>(Tabel4[[#This Row],[Ny pris]]*12)/Tabel4[[#This Row],[kvm]]</f>
        <v>#DIV/0!</v>
      </c>
      <c r="O113" s="11">
        <f>Tabel4[[#This Row],[Ny pris]]-Tabel4[[#This Row],[Råleje]]</f>
        <v>0</v>
      </c>
      <c r="P113" s="11" t="s">
        <v>24</v>
      </c>
      <c r="Q113" s="11"/>
      <c r="R113" s="5"/>
    </row>
    <row r="114" spans="1:18">
      <c r="A114" s="2" t="s">
        <v>201</v>
      </c>
      <c r="B114" s="5" t="s">
        <v>36</v>
      </c>
      <c r="C114" s="5"/>
      <c r="D114" s="5"/>
      <c r="E114" s="1" t="s">
        <v>55</v>
      </c>
      <c r="F114" s="5"/>
      <c r="G114" s="5"/>
      <c r="H114" s="5"/>
      <c r="I114" s="8">
        <f>Tabel4[[#This Row],[Aconto]]+Tabel4[[#This Row],[Råleje]]</f>
        <v>0</v>
      </c>
      <c r="J114" s="5"/>
      <c r="K114" s="9" t="e">
        <f>(Tabel4[[#This Row],[Råleje]]*12)/Tabel4[[#This Row],[kvm]]</f>
        <v>#DIV/0!</v>
      </c>
      <c r="L114" s="10">
        <v>43358</v>
      </c>
      <c r="M114" s="5"/>
      <c r="N114" s="11" t="e">
        <f>(Tabel4[[#This Row],[Ny pris]]*12)/Tabel4[[#This Row],[kvm]]</f>
        <v>#DIV/0!</v>
      </c>
      <c r="O114" s="11">
        <f>Tabel4[[#This Row],[Ny pris]]-Tabel4[[#This Row],[Råleje]]</f>
        <v>0</v>
      </c>
      <c r="P114" s="11" t="s">
        <v>24</v>
      </c>
      <c r="Q114" s="11"/>
      <c r="R114" s="5"/>
    </row>
    <row r="115" spans="1:18">
      <c r="A115" s="1" t="s">
        <v>202</v>
      </c>
      <c r="B115" s="5" t="s">
        <v>197</v>
      </c>
      <c r="C115" s="5"/>
      <c r="D115" s="5"/>
      <c r="E115" s="1" t="s">
        <v>55</v>
      </c>
      <c r="F115" s="5"/>
      <c r="G115" s="5"/>
      <c r="H115" s="5"/>
      <c r="I115" s="8">
        <f>Tabel4[[#This Row],[Aconto]]+Tabel4[[#This Row],[Råleje]]</f>
        <v>0</v>
      </c>
      <c r="J115" s="5"/>
      <c r="K115" s="9" t="e">
        <f>(Tabel4[[#This Row],[Råleje]]*12)/Tabel4[[#This Row],[kvm]]</f>
        <v>#DIV/0!</v>
      </c>
      <c r="L115" s="10">
        <v>43132</v>
      </c>
      <c r="M115" s="5"/>
      <c r="N115" s="11" t="e">
        <f>(Tabel4[[#This Row],[Ny pris]]*12)/Tabel4[[#This Row],[kvm]]</f>
        <v>#DIV/0!</v>
      </c>
      <c r="O115" s="11">
        <f>Tabel4[[#This Row],[Ny pris]]-Tabel4[[#This Row],[Råleje]]</f>
        <v>0</v>
      </c>
      <c r="P115" s="11" t="s">
        <v>24</v>
      </c>
      <c r="Q115" s="11"/>
      <c r="R115" s="5"/>
    </row>
    <row r="116" spans="1:18">
      <c r="A116" s="2" t="s">
        <v>203</v>
      </c>
      <c r="B116" s="5" t="s">
        <v>151</v>
      </c>
      <c r="C116" s="5"/>
      <c r="D116" s="5"/>
      <c r="E116" s="1" t="s">
        <v>55</v>
      </c>
      <c r="F116" s="5"/>
      <c r="G116" s="5"/>
      <c r="H116" s="5"/>
      <c r="I116" s="8">
        <f>Tabel4[[#This Row],[Aconto]]+Tabel4[[#This Row],[Råleje]]</f>
        <v>0</v>
      </c>
      <c r="J116" s="5"/>
      <c r="K116" s="9" t="e">
        <f>(Tabel4[[#This Row],[Råleje]]*12)/Tabel4[[#This Row],[kvm]]</f>
        <v>#DIV/0!</v>
      </c>
      <c r="L116" s="10">
        <v>45809</v>
      </c>
      <c r="M116" s="5"/>
      <c r="N116" s="11" t="e">
        <f>(Tabel4[[#This Row],[Ny pris]]*12)/Tabel4[[#This Row],[kvm]]</f>
        <v>#DIV/0!</v>
      </c>
      <c r="O116" s="11">
        <f>Tabel4[[#This Row],[Ny pris]]-Tabel4[[#This Row],[Råleje]]</f>
        <v>0</v>
      </c>
      <c r="P116" s="11" t="s">
        <v>24</v>
      </c>
      <c r="Q116" s="11"/>
      <c r="R116" s="5"/>
    </row>
  </sheetData>
  <conditionalFormatting sqref="A2:A116">
    <cfRule type="duplicateValues" dxfId="35" priority="16"/>
  </conditionalFormatting>
  <conditionalFormatting sqref="A3">
    <cfRule type="duplicateValues" dxfId="34" priority="2"/>
  </conditionalFormatting>
  <conditionalFormatting sqref="A3:A20">
    <cfRule type="duplicateValues" dxfId="33" priority="6"/>
  </conditionalFormatting>
  <conditionalFormatting sqref="A4:A20">
    <cfRule type="duplicateValues" dxfId="32" priority="1"/>
  </conditionalFormatting>
  <conditionalFormatting sqref="E2">
    <cfRule type="containsText" dxfId="31" priority="11" operator="containsText" text="Reserveret">
      <formula>NOT(ISERROR(SEARCH("Reserveret",E2)))</formula>
    </cfRule>
    <cfRule type="containsText" dxfId="30" priority="12" operator="containsText" text="Tomgang">
      <formula>NOT(ISERROR(SEARCH("Tomgang",E2)))</formula>
    </cfRule>
    <cfRule type="containsText" dxfId="29" priority="14" operator="containsText" text="Udlejet">
      <formula>NOT(ISERROR(SEARCH("Udlejet",E2)))</formula>
    </cfRule>
  </conditionalFormatting>
  <conditionalFormatting sqref="E2:E116">
    <cfRule type="containsText" dxfId="28" priority="7" operator="containsText" text="Opsagt">
      <formula>NOT(ISERROR(SEARCH("Opsagt",E2)))</formula>
    </cfRule>
    <cfRule type="containsText" dxfId="27" priority="8" operator="containsText" text="Reserveret">
      <formula>NOT(ISERROR(SEARCH("Reserveret",E2)))</formula>
    </cfRule>
    <cfRule type="containsText" dxfId="26" priority="9" operator="containsText" text="Tomgang">
      <formula>NOT(ISERROR(SEARCH("Tomgang",E2)))</formula>
    </cfRule>
    <cfRule type="containsText" dxfId="25" priority="10" operator="containsText" text="Udlejet">
      <formula>NOT(ISERROR(SEARCH("Udlejet",E2)))</formula>
    </cfRule>
    <cfRule type="containsText" dxfId="24" priority="13" operator="containsText" text="retur">
      <formula>NOT(ISERROR(SEARCH("retur",E2)))</formula>
    </cfRule>
    <cfRule type="cellIs" dxfId="23" priority="15" operator="equal">
      <formula>"under udvikling"</formula>
    </cfRule>
  </conditionalFormatting>
  <conditionalFormatting sqref="E3:E20">
    <cfRule type="containsText" dxfId="22" priority="3" operator="containsText" text="Reserveret">
      <formula>NOT(ISERROR(SEARCH("Reserveret",E3)))</formula>
    </cfRule>
    <cfRule type="containsText" dxfId="21" priority="4" operator="containsText" text="Tomgang">
      <formula>NOT(ISERROR(SEARCH("Tomgang",E3)))</formula>
    </cfRule>
    <cfRule type="containsText" dxfId="20" priority="5" operator="containsText" text="Udlejet">
      <formula>NOT(ISERROR(SEARCH("Udlejet",E3)))</formula>
    </cfRule>
  </conditionalFormatting>
  <hyperlinks>
    <hyperlink ref="R18" r:id="rId1" display="https://www.boligportal.dk/lejligheder/aalborg/54m2-1-vaer-id-4684172" xr:uid="{878E60BA-5802-4958-AF0F-3369951F2C44}"/>
    <hyperlink ref="R6" r:id="rId2" display="https://www.boligportal.dk/lejligheder/aalborg/91m2-3-vaer-id-5540282" xr:uid="{33B53B0B-82CC-4C66-A22B-07282022B506}"/>
    <hyperlink ref="R59" r:id="rId3" display="https://www.boligportal.dk/lejligheder/aalborg/108m2-4-vaer-id-5186783" xr:uid="{E0764D69-4440-406F-8B01-E409C7A8FEAE}"/>
    <hyperlink ref="R7" r:id="rId4" display="https://www.boligportal.dk/lejligheder/aalborg/82m2-3-vaer-id-5548371" xr:uid="{438A7AC9-9666-46F5-A4D5-002F2E0DE7F9}"/>
    <hyperlink ref="R66" r:id="rId5" display="https://www.boligportal.dk/lejligheder/aalborg/109m2-4-vaer-id-4850451" xr:uid="{9760520D-A8EF-4164-ABA5-B66F5112E736}"/>
    <hyperlink ref="R41" r:id="rId6" display="https://www.boligportal.dk/lejligheder/aalborg/90m2-3-vaer-id-5269764" xr:uid="{AA49B0AB-9856-47DB-ABBA-0B9E83FBC07B}"/>
    <hyperlink ref="R53" r:id="rId7" display="https://www.boligportal.dk/lejligheder/aalborg/95m2-4-vaer-id-3696841" xr:uid="{2E3EAE8D-64C5-4662-B11E-2700A79DE74C}"/>
    <hyperlink ref="R38" r:id="rId8" display="https://www.boligportal.dk/lejligheder/aalborg/83m2-2-vaer-id-5534665" xr:uid="{562F44FA-28D4-420F-ABA2-F19E997B8D5D}"/>
    <hyperlink ref="R15" r:id="rId9" display="https://www.boligportal.dk/lejligheder/aalborg/58m2-2-vaer-id-4857420" xr:uid="{E66456D1-2094-4463-9AAD-515D4BE887C7}"/>
    <hyperlink ref="R17" r:id="rId10" display="https://www.boligportal.dk/lejligheder/aalborg/70m2-2-vaer-id-5499703" xr:uid="{EEB8FB03-D918-480E-80B7-4DA1D7142C3A}"/>
    <hyperlink ref="R47" r:id="rId11" display="https://www.boligportal.dk/lejligheder/aalborg/95m2-3-vaer-id-5226684" xr:uid="{4CDAC19E-C6F0-4224-AA5A-0646999B0CDB}"/>
    <hyperlink ref="R46" r:id="rId12" display="https://www.boligportal.dk/lejligheder/aalborg/86m2-3-vaer-id-5348704" xr:uid="{7568FDE7-872B-4B33-B838-B4EAE009A7DD}"/>
    <hyperlink ref="R44" r:id="rId13" display="https://dmbolig.dk/bolig/36630001679/christiansgade-8-st.-tv.-9000-aalborg/" xr:uid="{1CFD07F3-2074-4D1E-AD90-12EBAD4D4211}"/>
    <hyperlink ref="R56" r:id="rId14" display="https://www.boligportal.dk/lejligheder/aalborg/96m2-3-vaer-id-5548482" xr:uid="{BBDE3599-1DEF-4A5F-B10B-69FA56FE3B20}"/>
    <hyperlink ref="R33" r:id="rId15" display="https://www.boligportal.dk/lejligheder/aalborg/80m2-3-vaer-id-5264529" xr:uid="{7C2327B6-2827-4561-8983-92F0BEAD68F5}"/>
  </hyperlinks>
  <pageMargins left="0.7" right="0.7" top="0.75" bottom="0.75" header="0.3" footer="0.3"/>
  <tableParts count="1">
    <tablePart r:id="rId1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DEE053D2386554E885687B19D5EEE2B" ma:contentTypeVersion="15" ma:contentTypeDescription="Opret et nyt dokument." ma:contentTypeScope="" ma:versionID="86f56927863577354fc20050ce932a30">
  <xsd:schema xmlns:xsd="http://www.w3.org/2001/XMLSchema" xmlns:xs="http://www.w3.org/2001/XMLSchema" xmlns:p="http://schemas.microsoft.com/office/2006/metadata/properties" xmlns:ns2="344c969b-fec5-4f86-a31e-e8aa3bb9eaf2" xmlns:ns3="182401d0-d317-4ff4-aee8-d8be7947042b" targetNamespace="http://schemas.microsoft.com/office/2006/metadata/properties" ma:root="true" ma:fieldsID="4c5ac03944cd214650bcf9341fea27f7" ns2:_="" ns3:_="">
    <xsd:import namespace="344c969b-fec5-4f86-a31e-e8aa3bb9eaf2"/>
    <xsd:import namespace="182401d0-d317-4ff4-aee8-d8be794704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c969b-fec5-4f86-a31e-e8aa3bb9ea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af588f4a-193e-45a8-99d8-6aeb73f515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2401d0-d317-4ff4-aee8-d8be794704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e106ceb-97ad-4666-9415-65210d99d45e}" ma:internalName="TaxCatchAll" ma:showField="CatchAllData" ma:web="182401d0-d317-4ff4-aee8-d8be794704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4c969b-fec5-4f86-a31e-e8aa3bb9eaf2">
      <Terms xmlns="http://schemas.microsoft.com/office/infopath/2007/PartnerControls"/>
    </lcf76f155ced4ddcb4097134ff3c332f>
    <TaxCatchAll xmlns="182401d0-d317-4ff4-aee8-d8be7947042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8B974E-3BF0-4B50-BA7D-01EFAEC55B2F}"/>
</file>

<file path=customXml/itemProps2.xml><?xml version="1.0" encoding="utf-8"?>
<ds:datastoreItem xmlns:ds="http://schemas.openxmlformats.org/officeDocument/2006/customXml" ds:itemID="{1CB09B09-2B49-4CE6-9A74-57F5C2DB134C}"/>
</file>

<file path=customXml/itemProps3.xml><?xml version="1.0" encoding="utf-8"?>
<ds:datastoreItem xmlns:ds="http://schemas.openxmlformats.org/officeDocument/2006/customXml" ds:itemID="{273C195B-57AB-41BA-A838-202A92CFD7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Lund</dc:creator>
  <cp:keywords/>
  <dc:description/>
  <cp:lastModifiedBy/>
  <cp:revision/>
  <dcterms:created xsi:type="dcterms:W3CDTF">2025-10-08T08:29:33Z</dcterms:created>
  <dcterms:modified xsi:type="dcterms:W3CDTF">2025-10-09T17:54:34Z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0x0101006DEE053D2386554E885687B19D5EEE2B</vt:lpwstr>
  </property>
</Properties>
</file>