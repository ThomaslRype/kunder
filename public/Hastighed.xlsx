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mboligdk.sharepoint.com/Delte dokumenter/LEJEMÅL - EXCEL/Alle udlejere/Lykkebo/ANALYSE/Lejemål - analyse/"/>
    </mc:Choice>
  </mc:AlternateContent>
  <xr:revisionPtr revIDLastSave="0" documentId="8_{EE863325-D5E0-428C-B91F-24594C1329E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2" sheetId="2" r:id="rId1"/>
    <sheet name="Ark1" sheetId="1" r:id="rId2"/>
  </sheets>
  <definedNames>
    <definedName name="_xlnm.Print_Area" localSheetId="1">Tabel1[#All]</definedName>
  </definedNames>
  <calcPr calcId="191028"/>
  <pivotCaches>
    <pivotCache cacheId="26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1" l="1"/>
  <c r="Q52" i="1"/>
  <c r="O69" i="1"/>
  <c r="N69" i="1"/>
  <c r="E77" i="1"/>
  <c r="E75" i="1"/>
  <c r="F76" i="1" s="1"/>
  <c r="F87" i="1"/>
  <c r="F89" i="1"/>
  <c r="F88" i="1"/>
  <c r="F75" i="1" l="1"/>
  <c r="F80" i="1" l="1"/>
  <c r="F79" i="1"/>
  <c r="N21" i="1"/>
  <c r="N4" i="1"/>
  <c r="N45" i="1"/>
  <c r="N31" i="1"/>
  <c r="N36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42" i="1"/>
  <c r="N46" i="1"/>
  <c r="N14" i="1"/>
  <c r="N37" i="1"/>
  <c r="N41" i="1"/>
  <c r="N15" i="1"/>
  <c r="N7" i="1"/>
  <c r="N40" i="1"/>
  <c r="N2" i="1"/>
  <c r="N39" i="1"/>
  <c r="N19" i="1"/>
  <c r="N47" i="1"/>
  <c r="N25" i="1"/>
  <c r="N48" i="1"/>
  <c r="N5" i="1"/>
  <c r="N49" i="1"/>
  <c r="N34" i="1"/>
  <c r="N35" i="1"/>
  <c r="N44" i="1"/>
  <c r="N43" i="1"/>
  <c r="N13" i="1"/>
  <c r="N18" i="1"/>
  <c r="N27" i="1"/>
  <c r="O50" i="1"/>
  <c r="O53" i="1"/>
  <c r="O51" i="1"/>
  <c r="O54" i="1"/>
  <c r="O52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42" i="1"/>
  <c r="O45" i="1"/>
  <c r="O46" i="1"/>
  <c r="O31" i="1"/>
  <c r="O14" i="1"/>
  <c r="O37" i="1"/>
  <c r="O41" i="1"/>
  <c r="O15" i="1"/>
  <c r="O7" i="1"/>
  <c r="O40" i="1"/>
  <c r="O2" i="1"/>
  <c r="O39" i="1"/>
  <c r="O19" i="1"/>
  <c r="O36" i="1"/>
  <c r="O47" i="1"/>
  <c r="O25" i="1"/>
  <c r="O48" i="1"/>
  <c r="O5" i="1"/>
  <c r="O49" i="1"/>
  <c r="O34" i="1"/>
  <c r="O35" i="1"/>
  <c r="O44" i="1"/>
  <c r="O43" i="1"/>
  <c r="O13" i="1"/>
  <c r="O18" i="1"/>
  <c r="O27" i="1"/>
  <c r="O4" i="1"/>
  <c r="O17" i="1"/>
  <c r="O21" i="1"/>
  <c r="O9" i="1"/>
  <c r="O22" i="1"/>
  <c r="O3" i="1"/>
  <c r="O10" i="1"/>
  <c r="O12" i="1"/>
  <c r="O29" i="1"/>
  <c r="O6" i="1"/>
  <c r="O11" i="1"/>
  <c r="O28" i="1"/>
  <c r="O26" i="1"/>
  <c r="O16" i="1"/>
  <c r="O23" i="1"/>
  <c r="O38" i="1"/>
  <c r="O8" i="1"/>
  <c r="O24" i="1"/>
  <c r="O33" i="1"/>
  <c r="O20" i="1"/>
  <c r="O30" i="1"/>
  <c r="O32" i="1"/>
  <c r="N75" i="1" l="1"/>
  <c r="N9" i="1"/>
  <c r="N22" i="1"/>
  <c r="N3" i="1"/>
  <c r="N10" i="1"/>
  <c r="N12" i="1"/>
  <c r="N29" i="1"/>
  <c r="N6" i="1"/>
  <c r="N11" i="1"/>
  <c r="N28" i="1"/>
  <c r="N26" i="1"/>
  <c r="N16" i="1"/>
  <c r="N23" i="1"/>
  <c r="N38" i="1"/>
  <c r="N71" i="1" s="1"/>
  <c r="N17" i="1"/>
  <c r="N8" i="1"/>
  <c r="N24" i="1"/>
  <c r="N33" i="1"/>
  <c r="N20" i="1"/>
  <c r="N30" i="1"/>
  <c r="N32" i="1"/>
  <c r="N74" i="1" l="1"/>
</calcChain>
</file>

<file path=xl/sharedStrings.xml><?xml version="1.0" encoding="utf-8"?>
<sst xmlns="http://schemas.openxmlformats.org/spreadsheetml/2006/main" count="167" uniqueCount="97">
  <si>
    <t>Adresse</t>
  </si>
  <si>
    <t>Status</t>
  </si>
  <si>
    <t>Værelser</t>
  </si>
  <si>
    <t>Rå leje</t>
  </si>
  <si>
    <t>Aconto</t>
  </si>
  <si>
    <t>Månedlig leje</t>
  </si>
  <si>
    <t>M2</t>
  </si>
  <si>
    <t>Årlig leje</t>
  </si>
  <si>
    <t>pr. m2</t>
  </si>
  <si>
    <t>Ledig fra</t>
  </si>
  <si>
    <t>Indflytning d.</t>
  </si>
  <si>
    <t>info sendt.</t>
  </si>
  <si>
    <t>Fik den</t>
  </si>
  <si>
    <t>dage fra "Fik den" den til "Indflytning"</t>
  </si>
  <si>
    <t>dage fra "Fik den" den til "info sendt"</t>
  </si>
  <si>
    <t xml:space="preserve">Maren Turis Gade 1A, 2 </t>
  </si>
  <si>
    <t>Udlejet</t>
  </si>
  <si>
    <t xml:space="preserve">Prinsensgade 34 st. th </t>
  </si>
  <si>
    <t>Ågade 24, 4. lejl. 1</t>
  </si>
  <si>
    <t>Vesterbro 28, 3. th.</t>
  </si>
  <si>
    <t>Vesterbro 44, 2. tv.</t>
  </si>
  <si>
    <t>Lindholm Brygge 1 st. lejl. 3</t>
  </si>
  <si>
    <t>Prinsensgade 42 1.tv</t>
  </si>
  <si>
    <t>Fyensgade 46, 4th</t>
  </si>
  <si>
    <t>Ågade 24 2. lejl. 2</t>
  </si>
  <si>
    <t>Vesterbro 44, 3. tv</t>
  </si>
  <si>
    <t xml:space="preserve">Vendsysselgade 10 1th </t>
  </si>
  <si>
    <t>Vesterbro 62 5.tv</t>
  </si>
  <si>
    <t>Hasserisgade 4, 3 th</t>
  </si>
  <si>
    <t>Lindholm Brygge 1 2. lejl. 8</t>
  </si>
  <si>
    <t>Kastetvej 10, 2. tv.</t>
  </si>
  <si>
    <t>Rantzausgade 34, st. th.</t>
  </si>
  <si>
    <t>Vesterbro 62A 2.5</t>
  </si>
  <si>
    <t xml:space="preserve">Markusgade 3 3. tv </t>
  </si>
  <si>
    <t>Vesterbro 115 3tv</t>
  </si>
  <si>
    <t xml:space="preserve">Markusgade 3 st tv </t>
  </si>
  <si>
    <t xml:space="preserve">Vesterbro 61A 3th </t>
  </si>
  <si>
    <t>Vesterbro 13, 3. th.</t>
  </si>
  <si>
    <t>Prinsensgade 42, 2. th</t>
  </si>
  <si>
    <t>Vesterbro 115 2.th</t>
  </si>
  <si>
    <t>Hasserisgade 4, 1. th</t>
  </si>
  <si>
    <t>udlejet</t>
  </si>
  <si>
    <t>Vesterbro 62A, 3. 2.</t>
  </si>
  <si>
    <t>Prinsensgade 34, 3 th</t>
  </si>
  <si>
    <t>Danmarksgade 74, st tv</t>
  </si>
  <si>
    <t xml:space="preserve">Boulevarden 7, 2. th </t>
  </si>
  <si>
    <t>Fyensgade 50, 1. th.</t>
  </si>
  <si>
    <t xml:space="preserve">Vesterbro 61B 2tv </t>
  </si>
  <si>
    <t>Vesterbro 3, st. tv.</t>
  </si>
  <si>
    <t>Vesterbro 32, 3. th</t>
  </si>
  <si>
    <t>Vesterbro 32, 5.th.</t>
  </si>
  <si>
    <t>Vendsysselgade 10, 3. tv</t>
  </si>
  <si>
    <t>Helgolandsgade 1 2. tv.</t>
  </si>
  <si>
    <t>Vesterbro 63. 5 tv</t>
  </si>
  <si>
    <t xml:space="preserve">Markusgade 3 1. th </t>
  </si>
  <si>
    <t xml:space="preserve">Maren Turis Gade 1, 3th </t>
  </si>
  <si>
    <t>Kastetvej 10 3.tv</t>
  </si>
  <si>
    <t>Borgergade 22. 3, th</t>
  </si>
  <si>
    <t>Vesterbro 62 3.th.</t>
  </si>
  <si>
    <t>Vesterbro 40 1.tv</t>
  </si>
  <si>
    <t>Christiansgade 8, 2. TH</t>
  </si>
  <si>
    <t>Christiansgade 8 st. th.</t>
  </si>
  <si>
    <t>Vesterbro 1, 2mf</t>
  </si>
  <si>
    <t xml:space="preserve">Vesterbro 115 3th </t>
  </si>
  <si>
    <t>Vesterbro 32, 2. th</t>
  </si>
  <si>
    <t>Christiansgade 8, 1. th.</t>
  </si>
  <si>
    <t>Boulevarden 19 3. lejl. 4</t>
  </si>
  <si>
    <t>Frederikstorv 1 2. th.</t>
  </si>
  <si>
    <t>Borgergade 22. 4, tv</t>
  </si>
  <si>
    <t>Tomgang</t>
  </si>
  <si>
    <t>Christiansgade 8, st. tv.</t>
  </si>
  <si>
    <t>Fyensgade 56, st. tv.</t>
  </si>
  <si>
    <t>Grønnegangen 7, 2. th.</t>
  </si>
  <si>
    <t>Poul Paghsgade 18 4.tv</t>
  </si>
  <si>
    <t>Prinsensgade 44 2. tv.</t>
  </si>
  <si>
    <t>Vesterbro 1 st. th.</t>
  </si>
  <si>
    <t>Vesterbro 1, 5. th.</t>
  </si>
  <si>
    <t>Vesterbro 11, 4. tv.</t>
  </si>
  <si>
    <t>Vesterbro 115, 4. th.</t>
  </si>
  <si>
    <t>Vesterbro 15, 5. mf.</t>
  </si>
  <si>
    <t>Vesterbro 30, 3. tv</t>
  </si>
  <si>
    <t>Vesterbro 5, st. th.</t>
  </si>
  <si>
    <t>Vesterbro 56 1. mf.</t>
  </si>
  <si>
    <t>Vesterbro 62 1.tv.</t>
  </si>
  <si>
    <t>Vesterbro 7, st. mf.</t>
  </si>
  <si>
    <t>Gennemsnit liggetid</t>
  </si>
  <si>
    <t>Flytter ind (Gennemsnit)</t>
  </si>
  <si>
    <t>Udlejet inden tomgang</t>
  </si>
  <si>
    <t>Info sendt (Gennemsnit)</t>
  </si>
  <si>
    <t>Udlejet efter tomgang</t>
  </si>
  <si>
    <t>Antal udlejet</t>
  </si>
  <si>
    <t>13 tomgang</t>
  </si>
  <si>
    <t>Ledige</t>
  </si>
  <si>
    <t>10 er ikke tomgang for os</t>
  </si>
  <si>
    <t>6 er tomgang</t>
  </si>
  <si>
    <t>reserveret</t>
  </si>
  <si>
    <t>Reserveret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</si>
</sst>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;@"/>
    <numFmt numFmtId="165" formatCode="#,##0.00\ &quot;kr.&quot;"/>
    <numFmt numFmtId="166" formatCode="[$-F800]dddd\,\ mmmm\ dd\,\ yyyy"/>
  </numFmts>
  <fonts count="2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</font>
    <font>
      <sz val="11"/>
      <color theme="1"/>
      <name val="Calibri Light"/>
      <scheme val="maj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rgb="FF333333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name val="Calibri Light"/>
      <family val="2"/>
      <scheme val="major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sz val="12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0E6F5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9" fillId="5" borderId="0" applyNumberFormat="0" applyBorder="0" applyAlignment="0" applyProtection="0"/>
    <xf numFmtId="0" fontId="1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3" borderId="0" xfId="0" applyFill="1"/>
    <xf numFmtId="0" fontId="4" fillId="3" borderId="0" xfId="0" applyFont="1" applyFill="1"/>
    <xf numFmtId="1" fontId="5" fillId="3" borderId="0" xfId="0" applyNumberFormat="1" applyFont="1" applyFill="1"/>
    <xf numFmtId="16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4" fillId="0" borderId="0" xfId="0" applyFont="1"/>
    <xf numFmtId="3" fontId="4" fillId="0" borderId="0" xfId="0" applyNumberFormat="1" applyFont="1"/>
    <xf numFmtId="1" fontId="5" fillId="0" borderId="0" xfId="0" applyNumberFormat="1" applyFont="1"/>
    <xf numFmtId="164" fontId="4" fillId="0" borderId="0" xfId="0" applyNumberFormat="1" applyFont="1" applyAlignment="1">
      <alignment horizontal="right"/>
    </xf>
    <xf numFmtId="3" fontId="4" fillId="3" borderId="0" xfId="0" applyNumberFormat="1" applyFont="1" applyFill="1"/>
    <xf numFmtId="14" fontId="4" fillId="0" borderId="0" xfId="0" applyNumberFormat="1" applyFont="1" applyAlignment="1">
      <alignment horizontal="right"/>
    </xf>
    <xf numFmtId="1" fontId="4" fillId="0" borderId="0" xfId="0" applyNumberFormat="1" applyFont="1"/>
    <xf numFmtId="164" fontId="4" fillId="3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5" fillId="3" borderId="0" xfId="0" applyNumberFormat="1" applyFont="1" applyFill="1" applyAlignment="1">
      <alignment horizontal="right"/>
    </xf>
    <xf numFmtId="14" fontId="4" fillId="3" borderId="0" xfId="0" applyNumberFormat="1" applyFont="1" applyFill="1" applyAlignment="1">
      <alignment horizontal="right"/>
    </xf>
    <xf numFmtId="0" fontId="5" fillId="2" borderId="0" xfId="1" applyFont="1"/>
    <xf numFmtId="14" fontId="0" fillId="3" borderId="0" xfId="0" applyNumberFormat="1" applyFill="1" applyAlignment="1">
      <alignment horizontal="right"/>
    </xf>
    <xf numFmtId="3" fontId="4" fillId="0" borderId="0" xfId="0" applyNumberFormat="1" applyFon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6" fillId="3" borderId="2" xfId="0" applyFont="1" applyFill="1" applyBorder="1" applyAlignment="1">
      <alignment vertical="center"/>
    </xf>
    <xf numFmtId="0" fontId="0" fillId="3" borderId="2" xfId="0" applyFill="1" applyBorder="1"/>
    <xf numFmtId="0" fontId="0" fillId="0" borderId="2" xfId="0" applyBorder="1"/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7" borderId="0" xfId="0" applyFill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/>
    <xf numFmtId="164" fontId="4" fillId="0" borderId="0" xfId="3" applyNumberFormat="1" applyFont="1" applyAlignment="1">
      <alignment horizontal="right"/>
    </xf>
    <xf numFmtId="0" fontId="4" fillId="8" borderId="0" xfId="0" applyFont="1" applyFill="1"/>
    <xf numFmtId="3" fontId="4" fillId="7" borderId="0" xfId="0" applyNumberFormat="1" applyFont="1" applyFill="1"/>
    <xf numFmtId="14" fontId="0" fillId="7" borderId="0" xfId="0" applyNumberFormat="1" applyFill="1"/>
    <xf numFmtId="14" fontId="15" fillId="0" borderId="0" xfId="0" applyNumberFormat="1" applyFont="1" applyAlignment="1">
      <alignment horizontal="right"/>
    </xf>
    <xf numFmtId="0" fontId="4" fillId="10" borderId="0" xfId="0" applyFont="1" applyFill="1"/>
    <xf numFmtId="14" fontId="16" fillId="0" borderId="0" xfId="0" applyNumberFormat="1" applyFont="1" applyAlignment="1">
      <alignment horizontal="right"/>
    </xf>
    <xf numFmtId="14" fontId="0" fillId="7" borderId="0" xfId="0" applyNumberFormat="1" applyFill="1" applyAlignment="1">
      <alignment horizontal="right"/>
    </xf>
    <xf numFmtId="14" fontId="16" fillId="11" borderId="0" xfId="0" applyNumberFormat="1" applyFont="1" applyFill="1" applyAlignment="1">
      <alignment horizontal="right"/>
    </xf>
    <xf numFmtId="0" fontId="17" fillId="0" borderId="0" xfId="0" applyFont="1" applyAlignment="1">
      <alignment vertical="center"/>
    </xf>
    <xf numFmtId="14" fontId="16" fillId="12" borderId="0" xfId="0" applyNumberFormat="1" applyFont="1" applyFill="1" applyAlignment="1">
      <alignment horizontal="right"/>
    </xf>
    <xf numFmtId="0" fontId="18" fillId="0" borderId="0" xfId="0" applyFont="1" applyAlignment="1">
      <alignment vertical="center"/>
    </xf>
    <xf numFmtId="0" fontId="4" fillId="3" borderId="0" xfId="2" applyFont="1" applyFill="1"/>
    <xf numFmtId="165" fontId="0" fillId="3" borderId="0" xfId="0" applyNumberFormat="1" applyFill="1"/>
    <xf numFmtId="0" fontId="5" fillId="3" borderId="0" xfId="1" applyFont="1" applyFill="1"/>
    <xf numFmtId="0" fontId="5" fillId="3" borderId="0" xfId="0" applyFont="1" applyFill="1"/>
    <xf numFmtId="164" fontId="4" fillId="3" borderId="0" xfId="3" applyNumberFormat="1" applyFont="1" applyFill="1" applyAlignment="1">
      <alignment horizontal="right"/>
    </xf>
    <xf numFmtId="0" fontId="0" fillId="3" borderId="3" xfId="0" applyFill="1" applyBorder="1"/>
    <xf numFmtId="0" fontId="4" fillId="3" borderId="0" xfId="0" applyFont="1" applyFill="1" applyAlignment="1">
      <alignment horizontal="right"/>
    </xf>
    <xf numFmtId="14" fontId="4" fillId="3" borderId="4" xfId="0" applyNumberFormat="1" applyFont="1" applyFill="1" applyBorder="1" applyAlignment="1">
      <alignment horizontal="right"/>
    </xf>
    <xf numFmtId="14" fontId="0" fillId="3" borderId="4" xfId="0" applyNumberFormat="1" applyFill="1" applyBorder="1" applyAlignment="1">
      <alignment horizontal="right"/>
    </xf>
    <xf numFmtId="14" fontId="20" fillId="0" borderId="0" xfId="0" applyNumberFormat="1" applyFont="1"/>
    <xf numFmtId="0" fontId="19" fillId="13" borderId="0" xfId="0" applyFont="1" applyFill="1"/>
    <xf numFmtId="1" fontId="19" fillId="13" borderId="0" xfId="0" applyNumberFormat="1" applyFont="1" applyFill="1"/>
    <xf numFmtId="0" fontId="19" fillId="13" borderId="0" xfId="0" applyFont="1" applyFill="1" applyAlignment="1">
      <alignment horizontal="right"/>
    </xf>
    <xf numFmtId="0" fontId="19" fillId="13" borderId="0" xfId="0" applyFont="1" applyFill="1" applyAlignment="1">
      <alignment wrapText="1"/>
    </xf>
    <xf numFmtId="14" fontId="19" fillId="13" borderId="0" xfId="0" applyNumberFormat="1" applyFont="1" applyFill="1"/>
    <xf numFmtId="16" fontId="19" fillId="13" borderId="0" xfId="0" applyNumberFormat="1" applyFont="1" applyFill="1"/>
    <xf numFmtId="14" fontId="19" fillId="13" borderId="0" xfId="0" applyNumberFormat="1" applyFont="1" applyFill="1" applyAlignment="1">
      <alignment horizontal="right"/>
    </xf>
    <xf numFmtId="0" fontId="6" fillId="3" borderId="0" xfId="0" applyFont="1" applyFill="1"/>
    <xf numFmtId="0" fontId="0" fillId="6" borderId="2" xfId="0" applyFill="1" applyBorder="1"/>
    <xf numFmtId="0" fontId="7" fillId="3" borderId="0" xfId="0" applyFont="1" applyFill="1"/>
    <xf numFmtId="0" fontId="6" fillId="4" borderId="0" xfId="0" applyFont="1" applyFill="1"/>
    <xf numFmtId="0" fontId="0" fillId="4" borderId="0" xfId="0" applyFill="1"/>
    <xf numFmtId="0" fontId="4" fillId="0" borderId="2" xfId="0" applyFont="1" applyBorder="1"/>
    <xf numFmtId="16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/>
    <xf numFmtId="10" fontId="0" fillId="0" borderId="0" xfId="4" applyNumberFormat="1" applyFont="1"/>
    <xf numFmtId="3" fontId="0" fillId="0" borderId="0" xfId="0" applyNumberFormat="1"/>
    <xf numFmtId="9" fontId="0" fillId="0" borderId="0" xfId="4" applyFont="1"/>
    <xf numFmtId="0" fontId="10" fillId="3" borderId="2" xfId="0" applyFont="1" applyFill="1" applyBorder="1" applyAlignment="1">
      <alignment vertical="center"/>
    </xf>
    <xf numFmtId="0" fontId="0" fillId="6" borderId="0" xfId="0" applyFill="1"/>
    <xf numFmtId="0" fontId="12" fillId="8" borderId="0" xfId="0" applyFont="1" applyFill="1"/>
    <xf numFmtId="0" fontId="4" fillId="3" borderId="2" xfId="0" applyFont="1" applyFill="1" applyBorder="1" applyAlignment="1">
      <alignment vertical="center"/>
    </xf>
    <xf numFmtId="0" fontId="12" fillId="8" borderId="0" xfId="0" applyFont="1" applyFill="1" applyAlignment="1">
      <alignment vertical="center"/>
    </xf>
    <xf numFmtId="0" fontId="11" fillId="0" borderId="2" xfId="0" applyFont="1" applyBorder="1" applyAlignment="1">
      <alignment vertical="center"/>
    </xf>
    <xf numFmtId="0" fontId="0" fillId="9" borderId="0" xfId="0" applyFill="1"/>
    <xf numFmtId="0" fontId="4" fillId="4" borderId="2" xfId="0" applyFont="1" applyFill="1" applyBorder="1"/>
    <xf numFmtId="0" fontId="6" fillId="0" borderId="2" xfId="0" applyFont="1" applyBorder="1"/>
    <xf numFmtId="0" fontId="4" fillId="3" borderId="2" xfId="0" applyFont="1" applyFill="1" applyBorder="1" applyAlignment="1">
      <alignment wrapText="1"/>
    </xf>
    <xf numFmtId="0" fontId="6" fillId="3" borderId="2" xfId="0" applyFont="1" applyFill="1" applyBorder="1"/>
    <xf numFmtId="0" fontId="18" fillId="7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4" borderId="2" xfId="0" applyFill="1" applyBorder="1"/>
    <xf numFmtId="0" fontId="0" fillId="8" borderId="0" xfId="0" applyFill="1"/>
    <xf numFmtId="14" fontId="0" fillId="0" borderId="4" xfId="0" applyNumberFormat="1" applyBorder="1" applyAlignment="1">
      <alignment horizontal="right"/>
    </xf>
    <xf numFmtId="14" fontId="0" fillId="7" borderId="4" xfId="0" applyNumberFormat="1" applyFill="1" applyBorder="1" applyAlignment="1">
      <alignment horizontal="right"/>
    </xf>
    <xf numFmtId="14" fontId="16" fillId="3" borderId="0" xfId="0" applyNumberFormat="1" applyFont="1" applyFill="1" applyAlignment="1">
      <alignment horizontal="right"/>
    </xf>
    <xf numFmtId="14" fontId="4" fillId="0" borderId="4" xfId="0" applyNumberFormat="1" applyFont="1" applyBorder="1" applyAlignment="1">
      <alignment horizontal="right"/>
    </xf>
    <xf numFmtId="3" fontId="14" fillId="0" borderId="0" xfId="0" applyNumberFormat="1" applyFont="1"/>
  </cellXfs>
  <cellStyles count="5">
    <cellStyle name="God" xfId="1" builtinId="26"/>
    <cellStyle name="Link" xfId="3" builtinId="8"/>
    <cellStyle name="Neutral" xfId="2" builtinId="28"/>
    <cellStyle name="Normal" xfId="0" builtinId="0"/>
    <cellStyle name="Procent" xfId="4" builtinId="5"/>
  </cellStyles>
  <dxfs count="46">
    <dxf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numFmt numFmtId="19" formatCode="dd/mm/yyyy"/>
    </dxf>
    <dxf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.mm\.yyyy;@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ill>
        <patternFill>
          <bgColor theme="9" tint="0.39994506668294322"/>
        </patternFill>
      </fill>
    </dxf>
    <dxf>
      <fill>
        <patternFill>
          <bgColor rgb="FF8BD3B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8DFB9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theme="3" tint="0.749961851863155"/>
        </patternFill>
      </fill>
    </dxf>
    <dxf>
      <fill>
        <patternFill>
          <bgColor rgb="FF8DFB97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8BD3B2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8DFB97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[Lykkebo udlejningshastighed (Boliger allerede i tomgang).xlsx]Ark2!Pivottabel1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327999"/>
        <c:axId val="679321279"/>
      </c:barChart>
      <c:catAx>
        <c:axId val="6793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79321279"/>
        <c:crosses val="autoZero"/>
        <c:auto val="1"/>
        <c:lblAlgn val="ctr"/>
        <c:lblOffset val="100"/>
        <c:noMultiLvlLbl val="0"/>
      </c:catAx>
      <c:valAx>
        <c:axId val="67932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793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5F-4E73-B962-8126DEF36D63}"/>
              </c:ext>
            </c:extLst>
          </c:dPt>
          <c:dPt>
            <c:idx val="1"/>
            <c:bubble3D val="0"/>
            <c:explosion val="9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5F-4E73-B962-8126DEF36D63}"/>
              </c:ext>
            </c:extLst>
          </c:dPt>
          <c:dLbls>
            <c:dLbl>
              <c:idx val="0"/>
              <c:layout>
                <c:manualLayout>
                  <c:x val="-0.19350043744531939"/>
                  <c:y val="-0.24258019830854485"/>
                </c:manualLayout>
              </c:layout>
              <c:tx>
                <c:rich>
                  <a:bodyPr/>
                  <a:lstStyle/>
                  <a:p>
                    <a:fld id="{3A8C92ED-0EB9-4400-AC77-E7E537041C54}" type="PERCENTAGE">
                      <a:rPr lang="en-US" sz="3200">
                        <a:solidFill>
                          <a:sysClr val="windowText" lastClr="000000"/>
                        </a:solidFill>
                      </a:rPr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45F-4E73-B962-8126DEF36D63}"/>
                </c:ext>
              </c:extLst>
            </c:dLbl>
            <c:dLbl>
              <c:idx val="1"/>
              <c:layout>
                <c:manualLayout>
                  <c:x val="0.11780971128608923"/>
                  <c:y val="0.17054352580927384"/>
                </c:manualLayout>
              </c:layout>
              <c:tx>
                <c:rich>
                  <a:bodyPr/>
                  <a:lstStyle/>
                  <a:p>
                    <a:fld id="{4F2E117F-9648-48A3-9B95-CE4971F3202E}" type="PERCENTAGE">
                      <a:rPr lang="en-US" sz="1800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31955380577426"/>
                      <c:h val="0.152708515602216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45F-4E73-B962-8126DEF36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'Ark1'!$D$79:$D$80</c:f>
              <c:strCache>
                <c:ptCount val="2"/>
                <c:pt idx="0">
                  <c:v>Udlejet inden tomgang</c:v>
                </c:pt>
                <c:pt idx="1">
                  <c:v>Udlejet efter tomgang</c:v>
                </c:pt>
              </c:strCache>
            </c:strRef>
          </c:cat>
          <c:val>
            <c:numRef>
              <c:f>'Ark1'!$F$79:$F$80</c:f>
            </c:numRef>
          </c:val>
          <c:extLst>
            <c:ext xmlns:c16="http://schemas.microsoft.com/office/drawing/2014/chart" uri="{C3380CC4-5D6E-409C-BE32-E72D297353CC}">
              <c16:uniqueId val="{00000000-F45F-4E73-B962-8126DEF36D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AC-47EC-B947-6175924B65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AC-47EC-B947-6175924B65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6D-4523-8039-49FBB0083F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'Ark1'!$D$87:$D$89</c:f>
              <c:strCache>
                <c:ptCount val="3"/>
                <c:pt idx="0">
                  <c:v>Antal udlejet</c:v>
                </c:pt>
                <c:pt idx="1">
                  <c:v>Ledige</c:v>
                </c:pt>
                <c:pt idx="2">
                  <c:v>Reserveret</c:v>
                </c:pt>
              </c:strCache>
            </c:strRef>
          </c:cat>
          <c:val>
            <c:numRef>
              <c:f>'Ark1'!$E$87:$E$89</c:f>
            </c:numRef>
          </c:val>
          <c:extLst>
            <c:ext xmlns:c16="http://schemas.microsoft.com/office/drawing/2014/chart" uri="{C3380CC4-5D6E-409C-BE32-E72D297353CC}">
              <c16:uniqueId val="{00000000-8326-4463-8DE1-203140B4762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F7-4F16-A8DE-271528DB7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AF7-4F16-A8DE-271528DB797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AF7-4F16-A8DE-271528DB797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AF7-4F16-A8DE-271528DB797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'Ark1'!$D$75:$D$76</c:f>
              <c:strCache>
                <c:ptCount val="2"/>
                <c:pt idx="0">
                  <c:v>Udlejet inden tomgang</c:v>
                </c:pt>
                <c:pt idx="1">
                  <c:v>Udlejet efter tomgang</c:v>
                </c:pt>
              </c:strCache>
            </c:strRef>
          </c:cat>
          <c:val>
            <c:numRef>
              <c:f>'Ark1'!$E$75:$E$76</c:f>
            </c:numRef>
          </c:val>
          <c:extLst>
            <c:ext xmlns:c16="http://schemas.microsoft.com/office/drawing/2014/chart" uri="{C3380CC4-5D6E-409C-BE32-E72D297353CC}">
              <c16:uniqueId val="{00000000-CAF7-4F16-A8DE-271528DB797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47624</xdr:colOff>
      <xdr:row>6</xdr:row>
      <xdr:rowOff>28574</xdr:rowOff>
    </xdr:from>
    <xdr:to>
      <xdr:col>40</xdr:col>
      <xdr:colOff>409574</xdr:colOff>
      <xdr:row>33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4289875-68C9-5FC4-B54C-57CD59B96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117661</xdr:colOff>
      <xdr:row>70</xdr:row>
      <xdr:rowOff>146796</xdr:rowOff>
    </xdr:from>
    <xdr:to>
      <xdr:col>11</xdr:col>
      <xdr:colOff>409014</xdr:colOff>
      <xdr:row>85</xdr:row>
      <xdr:rowOff>32496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38F4C62-97D2-A9B0-6F23-0A13FCB32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229718</xdr:colOff>
      <xdr:row>86</xdr:row>
      <xdr:rowOff>112059</xdr:rowOff>
    </xdr:from>
    <xdr:to>
      <xdr:col>11</xdr:col>
      <xdr:colOff>649942</xdr:colOff>
      <xdr:row>101</xdr:row>
      <xdr:rowOff>66114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8A573B1-0699-B357-0E8F-63DCB46C1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201706</xdr:colOff>
      <xdr:row>69</xdr:row>
      <xdr:rowOff>34737</xdr:rowOff>
    </xdr:from>
    <xdr:to>
      <xdr:col>12</xdr:col>
      <xdr:colOff>1479177</xdr:colOff>
      <xdr:row>83</xdr:row>
      <xdr:rowOff>110937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C844CE3-EA05-79CC-1C60-F0F5A3AD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Lund" refreshedDate="45910.356234143517" createdVersion="8" refreshedVersion="8" minRefreshableVersion="3" recordCount="67" xr:uid="{E0CE9D93-0BC7-4368-9279-4C7B5A0CF2E8}">
  <cacheSource type="worksheet">
    <worksheetSource name="Tabel1"/>
  </cacheSource>
  <cacheFields count="15">
    <cacheField name="Adresse" numFmtId="0">
      <sharedItems count="67">
        <s v="Christiansgade 8, 1. th."/>
        <s v="Boulevarden 19 3. lejl. 4"/>
        <s v="Frederikstorv 1 2. th."/>
        <s v="Borgergade 22. 4, tv"/>
        <s v="Christiansgade 8, st. tv."/>
        <s v="Fyensgade 56, st. tv."/>
        <s v="Grønnegangen 7, 2. th."/>
        <s v="Poul Paghsgade 18 4.tv"/>
        <s v="Prinsensgade 44 2. tv."/>
        <s v="Vesterbro 1 st. th."/>
        <s v="Vesterbro 1, 5. th."/>
        <s v="Vesterbro 11, 4. tv."/>
        <s v="Vesterbro 115, 4. th."/>
        <s v="Vesterbro 15, 5. mf."/>
        <s v="Vesterbro 30, 3. tv"/>
        <s v="Vesterbro 5, st. th."/>
        <s v="Vesterbro 56 1. mf."/>
        <s v="Vesterbro 62 1.tv."/>
        <s v="Vesterbro 7, st. mf."/>
        <s v="Markusgade 3 st tv "/>
        <s v="Fyensgade 46, 4th"/>
        <s v="Vesterbro 61A 3th "/>
        <s v="Prinsensgade 34 st. th "/>
        <s v="Ågade 24 2. lejl. 2"/>
        <s v="Vendsysselgade 10 1th "/>
        <s v="Danmarksgade 74, st tv"/>
        <s v="Vesterbro 44, 2. tv."/>
        <s v="Vesterbro 44, 3. tv"/>
        <s v="Prinsensgade 34, 3 th"/>
        <s v="Hasserisgade 4, 1. th"/>
        <s v="Kastetvej 10, 2. tv."/>
        <s v="Vesterbro 13, 3. th."/>
        <s v="Vesterbro 63. 5 tv"/>
        <s v="Rantzausgade 34, st. th."/>
        <s v="Prinsensgade 42 1.tv"/>
        <s v="Prinsensgade 42, 2. th"/>
        <s v="Vesterbro 3, st. tv."/>
        <s v="Vesterbro 115 3tv"/>
        <s v="Boulevarden 7, 2. th "/>
        <s v="Vesterbro 61B 2tv "/>
        <s v="Borgergade 22. 3, th"/>
        <s v="Christiansgade 8, 2. TH"/>
        <s v="Christiansgade 8 st. th."/>
        <s v="Fyensgade 50, 1. th."/>
        <s v="Hasserisgade 4, 3 th"/>
        <s v="Helgolandsgade 1 2. tv."/>
        <s v="Kastetvej 10 3.tv"/>
        <s v="Lindholm Brygge 1 2. lejl. 8"/>
        <s v="Lindholm Brygge 1 st. lejl. 3"/>
        <s v="Maren Turis Gade 1, 3th "/>
        <s v="Maren Turis Gade 1A, 2 "/>
        <s v="Markusgade 3 1. th "/>
        <s v="Markusgade 3 3. tv "/>
        <s v="Vendsysselgade 10, 3. tv"/>
        <s v="Vesterbro 1, 2mf"/>
        <s v="Vesterbro 115 2.th"/>
        <s v="Vesterbro 115 3th "/>
        <s v="Vesterbro 28, 3. th."/>
        <s v="Vesterbro 32, 2. th"/>
        <s v="Vesterbro 32, 3. th"/>
        <s v="Vesterbro 32, 5.th."/>
        <s v="Vesterbro 40 1.tv"/>
        <s v="Vesterbro 62 3.th."/>
        <s v="Vesterbro 62 5.tv"/>
        <s v="Vesterbro 62A 2.5"/>
        <s v="Vesterbro 62A, 3. 2."/>
        <s v="Ågade 24, 4. lejl. 1"/>
      </sharedItems>
    </cacheField>
    <cacheField name="Status" numFmtId="0">
      <sharedItems/>
    </cacheField>
    <cacheField name="Værelser" numFmtId="0">
      <sharedItems containsSemiMixedTypes="0" containsString="0" containsNumber="1" containsInteger="1" minValue="2" maxValue="5" count="4">
        <n v="4"/>
        <n v="2"/>
        <n v="3"/>
        <n v="5"/>
      </sharedItems>
    </cacheField>
    <cacheField name="Rå leje" numFmtId="0">
      <sharedItems containsSemiMixedTypes="0" containsString="0" containsNumber="1" containsInteger="1" minValue="3995" maxValue="11395"/>
    </cacheField>
    <cacheField name="Aconto" numFmtId="0">
      <sharedItems containsSemiMixedTypes="0" containsString="0" containsNumber="1" containsInteger="1" minValue="400" maxValue="1250"/>
    </cacheField>
    <cacheField name="Månedlig leje" numFmtId="0">
      <sharedItems containsSemiMixedTypes="0" containsString="0" containsNumber="1" containsInteger="1" minValue="4395" maxValue="12395"/>
    </cacheField>
    <cacheField name="M2" numFmtId="0">
      <sharedItems containsSemiMixedTypes="0" containsString="0" containsNumber="1" containsInteger="1" minValue="50" maxValue="134"/>
    </cacheField>
    <cacheField name="Årlig leje" numFmtId="0">
      <sharedItems containsSemiMixedTypes="0" containsString="0" containsNumber="1" containsInteger="1" minValue="47940" maxValue="136740"/>
    </cacheField>
    <cacheField name="pr. m2" numFmtId="1">
      <sharedItems containsSemiMixedTypes="0" containsString="0" containsNumber="1" minValue="752.35294117647061" maxValue="1175.2941176470588"/>
    </cacheField>
    <cacheField name="Ledig fra" numFmtId="0">
      <sharedItems containsNonDate="0" containsDate="1" containsString="0" containsBlank="1" minDate="2024-01-01T00:00:00" maxDate="2025-08-14T00:00:00"/>
    </cacheField>
    <cacheField name="Indflytning d." numFmtId="0">
      <sharedItems containsNonDate="0" containsDate="1" containsString="0" containsBlank="1" minDate="2024-06-01T00:00:00" maxDate="2025-09-02T00:00:00"/>
    </cacheField>
    <cacheField name="info sendt." numFmtId="14">
      <sharedItems containsNonDate="0" containsDate="1" containsString="0" containsBlank="1" minDate="2024-05-06T00:00:00" maxDate="2025-09-10T00:00:00"/>
    </cacheField>
    <cacheField name="Fik den" numFmtId="0">
      <sharedItems containsNonDate="0" containsDate="1" containsString="0" containsBlank="1" minDate="2024-04-30T00:00:00" maxDate="2025-08-14T00:00:00"/>
    </cacheField>
    <cacheField name="dage fra &quot;Fik den&quot; den til &quot;Indflytning&quot;" numFmtId="0">
      <sharedItems containsMixedTypes="1" containsNumber="1" containsInteger="1" minValue="23" maxValue="321" count="39">
        <s v=" "/>
        <n v="70"/>
        <n v="44"/>
        <n v="71"/>
        <n v="26"/>
        <n v="57"/>
        <n v="88"/>
        <n v="31"/>
        <n v="51"/>
        <n v="78"/>
        <n v="72"/>
        <n v="62"/>
        <n v="118"/>
        <n v="41"/>
        <n v="93"/>
        <n v="69"/>
        <n v="92"/>
        <n v="164"/>
        <n v="242"/>
        <n v="58"/>
        <n v="103"/>
        <n v="148"/>
        <n v="60"/>
        <n v="34"/>
        <n v="147"/>
        <n v="23"/>
        <n v="138"/>
        <n v="68"/>
        <n v="98"/>
        <n v="254"/>
        <n v="291"/>
        <n v="30"/>
        <n v="321"/>
        <n v="94"/>
        <n v="201"/>
        <n v="193"/>
        <n v="63"/>
        <n v="74"/>
        <n v="28"/>
      </sharedItems>
    </cacheField>
    <cacheField name="dage fra &quot;Fik den&quot; den til &quot;info sendt&quot;" numFmtId="0">
      <sharedItems containsMixedTypes="1" containsNumber="1" containsInteger="1" minValue="0" maxValue="273" count="44">
        <n v="20"/>
        <n v="168"/>
        <n v="66"/>
        <s v=" "/>
        <n v="7"/>
        <n v="57"/>
        <n v="14"/>
        <n v="12"/>
        <n v="44"/>
        <n v="64"/>
        <n v="5"/>
        <n v="0"/>
        <n v="74"/>
        <n v="58"/>
        <n v="23"/>
        <n v="62"/>
        <n v="100"/>
        <n v="16"/>
        <n v="28"/>
        <n v="36"/>
        <n v="34"/>
        <n v="53"/>
        <n v="86"/>
        <n v="142"/>
        <n v="181"/>
        <n v="233"/>
        <n v="37"/>
        <n v="82"/>
        <n v="73"/>
        <n v="25"/>
        <n v="63"/>
        <n v="2"/>
        <n v="112"/>
        <n v="50"/>
        <n v="46"/>
        <n v="244"/>
        <n v="8"/>
        <n v="273"/>
        <n v="65"/>
        <n v="132"/>
        <n v="177"/>
        <n v="15"/>
        <n v="60"/>
        <n v="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s v="Reserveret"/>
    <x v="0"/>
    <n v="6795"/>
    <n v="700"/>
    <n v="7495"/>
    <n v="100"/>
    <n v="81540"/>
    <n v="815.4"/>
    <d v="2025-08-13T00:00:00"/>
    <m/>
    <d v="2025-09-02T00:00:00"/>
    <d v="2025-08-13T00:00:00"/>
    <x v="0"/>
    <x v="0"/>
  </r>
  <r>
    <x v="1"/>
    <s v="Reserveret"/>
    <x v="1"/>
    <n v="6595"/>
    <n v="800"/>
    <n v="7395"/>
    <n v="96"/>
    <n v="79140"/>
    <n v="824.375"/>
    <d v="2025-03-25T00:00:00"/>
    <m/>
    <d v="2025-09-09T00:00:00"/>
    <d v="2025-03-25T00:00:00"/>
    <x v="0"/>
    <x v="1"/>
  </r>
  <r>
    <x v="2"/>
    <s v="Reserveret"/>
    <x v="0"/>
    <n v="8795"/>
    <n v="1000"/>
    <n v="9795"/>
    <n v="113"/>
    <n v="105540"/>
    <n v="933.98230088495575"/>
    <d v="2025-07-04T00:00:00"/>
    <m/>
    <d v="2025-09-08T00:00:00"/>
    <d v="2025-07-04T00:00:00"/>
    <x v="0"/>
    <x v="2"/>
  </r>
  <r>
    <x v="3"/>
    <s v="Tomgang"/>
    <x v="0"/>
    <n v="7695"/>
    <n v="1050"/>
    <n v="8745"/>
    <n v="115"/>
    <n v="92340"/>
    <n v="802.95652173913038"/>
    <d v="2024-07-01T00:00:00"/>
    <m/>
    <m/>
    <m/>
    <x v="0"/>
    <x v="3"/>
  </r>
  <r>
    <x v="4"/>
    <s v="Tomgang"/>
    <x v="2"/>
    <n v="6495"/>
    <n v="700"/>
    <n v="7195"/>
    <n v="86"/>
    <n v="77940"/>
    <n v="906.27906976744191"/>
    <d v="2025-08-13T00:00:00"/>
    <m/>
    <m/>
    <m/>
    <x v="0"/>
    <x v="3"/>
  </r>
  <r>
    <x v="5"/>
    <s v="Tomgang"/>
    <x v="0"/>
    <n v="7995"/>
    <n v="900"/>
    <n v="8895"/>
    <n v="100"/>
    <n v="95940"/>
    <n v="959.4"/>
    <d v="2025-08-13T00:00:00"/>
    <m/>
    <m/>
    <m/>
    <x v="0"/>
    <x v="3"/>
  </r>
  <r>
    <x v="6"/>
    <s v="Tomgang"/>
    <x v="2"/>
    <n v="6495"/>
    <n v="800"/>
    <n v="7295"/>
    <n v="76"/>
    <n v="77940"/>
    <n v="1025.5263157894738"/>
    <d v="2025-08-13T00:00:00"/>
    <m/>
    <m/>
    <m/>
    <x v="0"/>
    <x v="3"/>
  </r>
  <r>
    <x v="7"/>
    <s v="Tomgang"/>
    <x v="2"/>
    <n v="6995"/>
    <n v="750"/>
    <n v="7745"/>
    <n v="77"/>
    <n v="83940"/>
    <n v="1090.1298701298701"/>
    <d v="2025-04-29T00:00:00"/>
    <m/>
    <m/>
    <m/>
    <x v="0"/>
    <x v="3"/>
  </r>
  <r>
    <x v="8"/>
    <s v="Tomgang"/>
    <x v="2"/>
    <n v="6995"/>
    <n v="750"/>
    <n v="7745"/>
    <n v="90"/>
    <n v="83940"/>
    <n v="932.66666666666663"/>
    <d v="2025-04-29T00:00:00"/>
    <m/>
    <m/>
    <m/>
    <x v="0"/>
    <x v="3"/>
  </r>
  <r>
    <x v="9"/>
    <s v="Tomgang"/>
    <x v="2"/>
    <n v="7895"/>
    <n v="900"/>
    <n v="8795"/>
    <n v="95"/>
    <n v="94740"/>
    <n v="997.26315789473688"/>
    <d v="2024-07-01T00:00:00"/>
    <m/>
    <m/>
    <m/>
    <x v="0"/>
    <x v="3"/>
  </r>
  <r>
    <x v="10"/>
    <s v="Tomgang"/>
    <x v="2"/>
    <n v="8145"/>
    <n v="700"/>
    <n v="8845"/>
    <n v="95"/>
    <n v="97740"/>
    <n v="1028.8421052631579"/>
    <d v="2024-07-01T00:00:00"/>
    <m/>
    <m/>
    <m/>
    <x v="0"/>
    <x v="3"/>
  </r>
  <r>
    <x v="11"/>
    <s v="Tomgang"/>
    <x v="1"/>
    <n v="6575"/>
    <n v="1200"/>
    <n v="7775"/>
    <n v="71"/>
    <n v="78900"/>
    <n v="1111.2676056338028"/>
    <d v="2025-05-19T00:00:00"/>
    <m/>
    <m/>
    <m/>
    <x v="0"/>
    <x v="3"/>
  </r>
  <r>
    <x v="12"/>
    <s v="Tomgang"/>
    <x v="2"/>
    <n v="7795"/>
    <n v="700"/>
    <n v="8495"/>
    <n v="98"/>
    <n v="93540"/>
    <n v="954.48979591836735"/>
    <d v="2025-08-13T00:00:00"/>
    <m/>
    <m/>
    <m/>
    <x v="0"/>
    <x v="3"/>
  </r>
  <r>
    <x v="13"/>
    <s v="Tomgang"/>
    <x v="2"/>
    <n v="8995"/>
    <n v="1250"/>
    <n v="10245"/>
    <n v="100"/>
    <n v="107940"/>
    <n v="1079.4000000000001"/>
    <d v="2024-07-01T00:00:00"/>
    <m/>
    <m/>
    <m/>
    <x v="0"/>
    <x v="3"/>
  </r>
  <r>
    <x v="14"/>
    <s v="Tomgang"/>
    <x v="2"/>
    <n v="7495"/>
    <n v="800"/>
    <n v="8295"/>
    <n v="97"/>
    <n v="89940"/>
    <n v="927.21649484536078"/>
    <d v="2025-07-04T00:00:00"/>
    <m/>
    <m/>
    <m/>
    <x v="0"/>
    <x v="3"/>
  </r>
  <r>
    <x v="15"/>
    <s v="Tomgang"/>
    <x v="1"/>
    <n v="5995"/>
    <n v="1100"/>
    <n v="7095"/>
    <n v="73"/>
    <n v="71940"/>
    <n v="985.47945205479448"/>
    <d v="2025-05-19T00:00:00"/>
    <m/>
    <m/>
    <m/>
    <x v="0"/>
    <x v="3"/>
  </r>
  <r>
    <x v="16"/>
    <s v="Tomgang"/>
    <x v="1"/>
    <n v="6995"/>
    <n v="800"/>
    <n v="7795"/>
    <n v="94"/>
    <n v="83940"/>
    <n v="892.97872340425533"/>
    <d v="2025-01-02T00:00:00"/>
    <m/>
    <m/>
    <m/>
    <x v="0"/>
    <x v="3"/>
  </r>
  <r>
    <x v="17"/>
    <s v="Tomgang"/>
    <x v="1"/>
    <n v="6995"/>
    <n v="1050"/>
    <n v="8045"/>
    <n v="94"/>
    <n v="83940"/>
    <n v="892.97872340425533"/>
    <d v="2025-02-15T00:00:00"/>
    <m/>
    <m/>
    <m/>
    <x v="0"/>
    <x v="3"/>
  </r>
  <r>
    <x v="18"/>
    <s v="Tomgang"/>
    <x v="2"/>
    <n v="8295"/>
    <n v="800"/>
    <n v="9095"/>
    <n v="100"/>
    <n v="99540"/>
    <n v="995.4"/>
    <d v="2024-07-01T00:00:00"/>
    <m/>
    <m/>
    <m/>
    <x v="0"/>
    <x v="3"/>
  </r>
  <r>
    <x v="19"/>
    <s v="Udlejet"/>
    <x v="1"/>
    <n v="5195"/>
    <n v="650"/>
    <n v="5845"/>
    <n v="62"/>
    <n v="62340"/>
    <n v="1005.483870967742"/>
    <d v="2024-06-06T00:00:00"/>
    <d v="2024-08-15T00:00:00"/>
    <d v="2024-06-26T00:00:00"/>
    <d v="2024-06-06T00:00:00"/>
    <x v="1"/>
    <x v="0"/>
  </r>
  <r>
    <x v="20"/>
    <s v="Udlejet"/>
    <x v="1"/>
    <n v="5495"/>
    <n v="500"/>
    <n v="5995"/>
    <n v="58"/>
    <n v="65940"/>
    <n v="1136.8965517241379"/>
    <d v="2024-07-07T00:00:00"/>
    <d v="2024-11-01T00:00:00"/>
    <d v="2024-09-25T00:00:00"/>
    <d v="2024-09-18T00:00:00"/>
    <x v="2"/>
    <x v="4"/>
  </r>
  <r>
    <x v="21"/>
    <s v="Udlejet"/>
    <x v="1"/>
    <n v="5695"/>
    <n v="650"/>
    <n v="6345"/>
    <n v="61"/>
    <n v="68340"/>
    <n v="1120.327868852459"/>
    <d v="2024-08-15T00:00:00"/>
    <d v="2024-08-15T00:00:00"/>
    <d v="2024-08-01T00:00:00"/>
    <d v="2024-06-05T00:00:00"/>
    <x v="3"/>
    <x v="5"/>
  </r>
  <r>
    <x v="22"/>
    <s v="Udlejet"/>
    <x v="2"/>
    <n v="5995"/>
    <n v="800"/>
    <n v="6795"/>
    <n v="85"/>
    <n v="71940"/>
    <n v="846.35294117647061"/>
    <d v="2024-06-01T00:00:00"/>
    <d v="2024-07-01T00:00:00"/>
    <d v="2024-06-19T00:00:00"/>
    <d v="2024-06-05T00:00:00"/>
    <x v="4"/>
    <x v="6"/>
  </r>
  <r>
    <x v="23"/>
    <s v="Udlejet"/>
    <x v="1"/>
    <n v="6395"/>
    <n v="800"/>
    <n v="7195"/>
    <n v="66"/>
    <n v="76740"/>
    <n v="1162.7272727272727"/>
    <d v="2024-10-15T00:00:00"/>
    <d v="2024-11-01T00:00:00"/>
    <d v="2024-09-30T00:00:00"/>
    <d v="2024-09-18T00:00:00"/>
    <x v="2"/>
    <x v="7"/>
  </r>
  <r>
    <x v="24"/>
    <s v="Udlejet"/>
    <x v="2"/>
    <n v="6449"/>
    <n v="650"/>
    <n v="7099"/>
    <n v="73"/>
    <n v="77388"/>
    <n v="1060.1095890410959"/>
    <d v="2024-07-01T00:00:00"/>
    <d v="2024-08-01T00:00:00"/>
    <d v="2024-07-19T00:00:00"/>
    <d v="2024-06-05T00:00:00"/>
    <x v="5"/>
    <x v="8"/>
  </r>
  <r>
    <x v="25"/>
    <s v="Udlejet"/>
    <x v="2"/>
    <n v="6495"/>
    <n v="800"/>
    <n v="7295"/>
    <n v="85"/>
    <n v="77940"/>
    <n v="916.94117647058829"/>
    <d v="2024-07-01T00:00:00"/>
    <d v="2024-09-01T00:00:00"/>
    <d v="2024-08-08T00:00:00"/>
    <d v="2024-06-05T00:00:00"/>
    <x v="6"/>
    <x v="9"/>
  </r>
  <r>
    <x v="26"/>
    <s v="Udlejet"/>
    <x v="2"/>
    <n v="6495"/>
    <n v="800"/>
    <n v="7295"/>
    <n v="84"/>
    <n v="77940"/>
    <n v="927.85714285714289"/>
    <d v="2024-06-01T00:00:00"/>
    <d v="2024-06-01T00:00:00"/>
    <d v="2024-05-06T00:00:00"/>
    <d v="2024-05-01T00:00:00"/>
    <x v="7"/>
    <x v="10"/>
  </r>
  <r>
    <x v="27"/>
    <s v="Udlejet"/>
    <x v="2"/>
    <n v="6495"/>
    <n v="800"/>
    <n v="7295"/>
    <n v="82"/>
    <n v="77940"/>
    <n v="950.48780487804879"/>
    <d v="2024-08-01T00:00:00"/>
    <d v="2024-08-01T00:00:00"/>
    <d v="2024-06-11T00:00:00"/>
    <d v="2024-06-11T00:00:00"/>
    <x v="8"/>
    <x v="11"/>
  </r>
  <r>
    <x v="28"/>
    <s v="Udlejet"/>
    <x v="2"/>
    <n v="6600"/>
    <n v="800"/>
    <n v="7400"/>
    <n v="85"/>
    <n v="79200"/>
    <n v="931.76470588235293"/>
    <d v="2024-08-01T00:00:00"/>
    <d v="2024-09-01T00:00:00"/>
    <d v="2024-08-28T00:00:00"/>
    <d v="2024-06-15T00:00:00"/>
    <x v="9"/>
    <x v="12"/>
  </r>
  <r>
    <x v="29"/>
    <s v="Udlejet"/>
    <x v="2"/>
    <n v="6795"/>
    <n v="700"/>
    <n v="7495"/>
    <n v="85"/>
    <n v="81540"/>
    <n v="959.29411764705878"/>
    <d v="2024-08-21T00:00:00"/>
    <d v="2024-11-01T00:00:00"/>
    <d v="2024-10-18T00:00:00"/>
    <d v="2024-08-21T00:00:00"/>
    <x v="10"/>
    <x v="13"/>
  </r>
  <r>
    <x v="30"/>
    <s v="Udlejet"/>
    <x v="2"/>
    <n v="6995"/>
    <n v="700"/>
    <n v="7695"/>
    <n v="78"/>
    <n v="83940"/>
    <n v="1076.1538461538462"/>
    <d v="2024-07-01T00:00:00"/>
    <d v="2024-07-01T00:00:00"/>
    <d v="2024-05-23T00:00:00"/>
    <d v="2024-04-30T00:00:00"/>
    <x v="11"/>
    <x v="14"/>
  </r>
  <r>
    <x v="31"/>
    <s v="Udlejet"/>
    <x v="2"/>
    <n v="6995"/>
    <n v="700"/>
    <n v="7695"/>
    <n v="84"/>
    <n v="83940"/>
    <n v="999.28571428571433"/>
    <d v="2024-07-01T00:00:00"/>
    <d v="2024-08-15T00:00:00"/>
    <d v="2024-08-06T00:00:00"/>
    <d v="2024-06-05T00:00:00"/>
    <x v="3"/>
    <x v="15"/>
  </r>
  <r>
    <x v="32"/>
    <s v="Udlejet"/>
    <x v="2"/>
    <n v="7000"/>
    <n v="1200"/>
    <n v="8200"/>
    <n v="101"/>
    <n v="84000"/>
    <n v="831.68316831683171"/>
    <d v="2024-07-01T00:00:00"/>
    <d v="2024-10-01T00:00:00"/>
    <d v="2024-09-13T00:00:00"/>
    <d v="2024-06-05T00:00:00"/>
    <x v="12"/>
    <x v="16"/>
  </r>
  <r>
    <x v="33"/>
    <s v="Udlejet"/>
    <x v="2"/>
    <n v="7195"/>
    <n v="700"/>
    <n v="7895"/>
    <n v="84"/>
    <n v="86340"/>
    <n v="1027.8571428571429"/>
    <d v="2024-06-01T00:00:00"/>
    <d v="2024-07-01T00:00:00"/>
    <d v="2024-05-16T00:00:00"/>
    <d v="2024-04-30T00:00:00"/>
    <x v="11"/>
    <x v="17"/>
  </r>
  <r>
    <x v="34"/>
    <s v="Udlejet"/>
    <x v="2"/>
    <n v="7295"/>
    <n v="800"/>
    <n v="8095"/>
    <n v="110"/>
    <n v="87540"/>
    <n v="795.81818181818187"/>
    <d v="2024-08-21T00:00:00"/>
    <d v="2024-10-01T00:00:00"/>
    <d v="2024-09-18T00:00:00"/>
    <d v="2024-08-21T00:00:00"/>
    <x v="13"/>
    <x v="18"/>
  </r>
  <r>
    <x v="35"/>
    <s v="Udlejet"/>
    <x v="2"/>
    <n v="7295"/>
    <n v="800"/>
    <n v="8095"/>
    <n v="96"/>
    <n v="87540"/>
    <n v="911.875"/>
    <d v="2024-07-01T00:00:00"/>
    <d v="2024-08-15T00:00:00"/>
    <d v="2024-07-11T00:00:00"/>
    <d v="2024-06-05T00:00:00"/>
    <x v="3"/>
    <x v="19"/>
  </r>
  <r>
    <x v="36"/>
    <s v="Udlejet"/>
    <x v="2"/>
    <n v="7295"/>
    <n v="800"/>
    <n v="8095"/>
    <n v="88"/>
    <n v="87540"/>
    <n v="994.77272727272725"/>
    <d v="2024-07-15T00:00:00"/>
    <d v="2024-08-01T00:00:00"/>
    <d v="2024-06-03T00:00:00"/>
    <d v="2024-04-30T00:00:00"/>
    <x v="14"/>
    <x v="20"/>
  </r>
  <r>
    <x v="37"/>
    <s v="Udlejet"/>
    <x v="2"/>
    <n v="7995"/>
    <n v="800"/>
    <n v="8795"/>
    <n v="96"/>
    <n v="95940"/>
    <n v="999.375"/>
    <d v="2024-07-01T00:00:00"/>
    <d v="2024-09-01T00:00:00"/>
    <d v="2024-08-16T00:00:00"/>
    <d v="2024-06-24T00:00:00"/>
    <x v="15"/>
    <x v="21"/>
  </r>
  <r>
    <x v="38"/>
    <s v="Udlejet"/>
    <x v="0"/>
    <n v="8000"/>
    <n v="1000"/>
    <n v="9000"/>
    <n v="115"/>
    <n v="96000"/>
    <n v="834.78260869565213"/>
    <d v="2024-07-01T00:00:00"/>
    <d v="2024-09-01T00:00:00"/>
    <d v="2024-07-09T00:00:00"/>
    <d v="2024-06-05T00:00:00"/>
    <x v="6"/>
    <x v="20"/>
  </r>
  <r>
    <x v="39"/>
    <s v="Udlejet"/>
    <x v="2"/>
    <n v="8100"/>
    <n v="900"/>
    <n v="9000"/>
    <n v="99"/>
    <n v="97200"/>
    <n v="981.81818181818187"/>
    <d v="2024-07-01T00:00:00"/>
    <d v="2024-09-01T00:00:00"/>
    <d v="2024-08-26T00:00:00"/>
    <d v="2024-06-01T00:00:00"/>
    <x v="16"/>
    <x v="22"/>
  </r>
  <r>
    <x v="40"/>
    <s v="Udlejet"/>
    <x v="2"/>
    <n v="6495"/>
    <n v="800"/>
    <n v="7295"/>
    <n v="91"/>
    <n v="77940"/>
    <n v="856.4835164835165"/>
    <d v="2024-11-01T00:00:00"/>
    <d v="2025-02-01T00:00:00"/>
    <d v="2025-01-10T00:00:00"/>
    <d v="2024-08-21T00:00:00"/>
    <x v="17"/>
    <x v="23"/>
  </r>
  <r>
    <x v="41"/>
    <s v="Udlejet"/>
    <x v="0"/>
    <n v="6595"/>
    <n v="850"/>
    <n v="7445"/>
    <n v="100"/>
    <n v="79140"/>
    <n v="791.4"/>
    <d v="2025-01-02T00:00:00"/>
    <d v="2025-09-01T00:00:00"/>
    <d v="2025-07-02T00:00:00"/>
    <d v="2025-01-02T00:00:00"/>
    <x v="18"/>
    <x v="24"/>
  </r>
  <r>
    <x v="42"/>
    <s v="Udlejet"/>
    <x v="0"/>
    <n v="6595"/>
    <n v="700"/>
    <n v="7295"/>
    <n v="100"/>
    <n v="79140"/>
    <n v="791.4"/>
    <d v="2024-07-01T00:00:00"/>
    <d v="2025-04-20T00:00:00"/>
    <d v="2025-04-11T00:00:00"/>
    <d v="2024-08-21T00:00:00"/>
    <x v="18"/>
    <x v="25"/>
  </r>
  <r>
    <x v="43"/>
    <s v="Udlejet"/>
    <x v="1"/>
    <n v="5195"/>
    <n v="700"/>
    <n v="5895"/>
    <n v="59"/>
    <n v="62340"/>
    <n v="1056.6101694915253"/>
    <d v="2025-05-19T00:00:00"/>
    <d v="2025-08-15T00:00:00"/>
    <d v="2025-07-22T00:00:00"/>
    <d v="2025-05-19T00:00:00"/>
    <x v="6"/>
    <x v="9"/>
  </r>
  <r>
    <x v="44"/>
    <s v="Udlejet"/>
    <x v="2"/>
    <n v="6595"/>
    <n v="800"/>
    <n v="7395"/>
    <n v="85"/>
    <n v="79140"/>
    <n v="931.05882352941171"/>
    <d v="2024-12-01T00:00:00"/>
    <d v="2025-01-01T00:00:00"/>
    <d v="2024-12-11T00:00:00"/>
    <d v="2024-11-04T00:00:00"/>
    <x v="19"/>
    <x v="26"/>
  </r>
  <r>
    <x v="45"/>
    <s v="Udlejet"/>
    <x v="2"/>
    <n v="7995"/>
    <n v="1000"/>
    <n v="8995"/>
    <n v="95"/>
    <n v="95940"/>
    <n v="1009.8947368421053"/>
    <d v="2025-01-02T00:00:00"/>
    <d v="2025-04-15T00:00:00"/>
    <d v="2025-03-25T00:00:00"/>
    <d v="2025-01-02T00:00:00"/>
    <x v="20"/>
    <x v="27"/>
  </r>
  <r>
    <x v="46"/>
    <s v="Udlejet"/>
    <x v="2"/>
    <n v="6895"/>
    <n v="700"/>
    <n v="7595"/>
    <n v="78"/>
    <n v="82740"/>
    <n v="1060.7692307692307"/>
    <d v="2025-02-03T00:00:00"/>
    <d v="2025-07-01T00:00:00"/>
    <d v="2025-04-17T00:00:00"/>
    <d v="2025-02-03T00:00:00"/>
    <x v="21"/>
    <x v="28"/>
  </r>
  <r>
    <x v="47"/>
    <s v="Udlejet"/>
    <x v="1"/>
    <n v="3995"/>
    <n v="400"/>
    <n v="4395"/>
    <n v="50"/>
    <n v="47940"/>
    <n v="958.8"/>
    <d v="2025-02-14T00:00:00"/>
    <d v="2025-04-15T00:00:00"/>
    <d v="2025-03-11T00:00:00"/>
    <d v="2025-02-14T00:00:00"/>
    <x v="22"/>
    <x v="29"/>
  </r>
  <r>
    <x v="48"/>
    <s v="Udlejet"/>
    <x v="1"/>
    <n v="3995"/>
    <n v="400"/>
    <n v="4395"/>
    <n v="50"/>
    <n v="47940"/>
    <n v="958.8"/>
    <d v="2025-02-14T00:00:00"/>
    <d v="2025-03-20T00:00:00"/>
    <d v="2025-03-14T00:00:00"/>
    <d v="2025-02-14T00:00:00"/>
    <x v="23"/>
    <x v="18"/>
  </r>
  <r>
    <x v="49"/>
    <s v="Udlejet"/>
    <x v="1"/>
    <n v="6395"/>
    <n v="900"/>
    <n v="7295"/>
    <n v="102"/>
    <n v="76740"/>
    <n v="752.35294117647061"/>
    <d v="2024-08-21T00:00:00"/>
    <d v="2025-01-15T00:00:00"/>
    <d v="2024-10-23T00:00:00"/>
    <d v="2024-08-21T00:00:00"/>
    <x v="24"/>
    <x v="30"/>
  </r>
  <r>
    <x v="50"/>
    <s v="Udlejet"/>
    <x v="1"/>
    <n v="5295"/>
    <n v="700"/>
    <n v="5995"/>
    <n v="76"/>
    <n v="63540"/>
    <n v="836.0526315789474"/>
    <d v="2025-08-01T00:00:00"/>
    <d v="2025-08-25T00:00:00"/>
    <d v="2025-08-04T00:00:00"/>
    <d v="2025-08-02T00:00:00"/>
    <x v="25"/>
    <x v="31"/>
  </r>
  <r>
    <x v="51"/>
    <s v="Udlejet"/>
    <x v="1"/>
    <n v="5195"/>
    <n v="700"/>
    <n v="5895"/>
    <n v="63"/>
    <n v="62340"/>
    <n v="989.52380952380952"/>
    <d v="2024-12-01T00:00:00"/>
    <d v="2025-04-01T00:00:00"/>
    <d v="2025-03-06T00:00:00"/>
    <d v="2024-11-14T00:00:00"/>
    <x v="26"/>
    <x v="32"/>
  </r>
  <r>
    <x v="52"/>
    <s v="Udlejet"/>
    <x v="1"/>
    <n v="4995"/>
    <n v="550"/>
    <n v="5545"/>
    <n v="63"/>
    <n v="59940"/>
    <n v="951.42857142857144"/>
    <d v="2024-01-01T00:00:00"/>
    <d v="2025-01-21T00:00:00"/>
    <d v="2025-01-03T00:00:00"/>
    <d v="2024-11-14T00:00:00"/>
    <x v="27"/>
    <x v="33"/>
  </r>
  <r>
    <x v="53"/>
    <s v="Udlejet"/>
    <x v="1"/>
    <n v="4995"/>
    <n v="650"/>
    <n v="5645"/>
    <n v="51"/>
    <n v="59940"/>
    <n v="1175.2941176470588"/>
    <d v="2025-03-25T00:00:00"/>
    <d v="2025-07-01T00:00:00"/>
    <d v="2025-05-26T00:00:00"/>
    <d v="2025-03-25T00:00:00"/>
    <x v="28"/>
    <x v="15"/>
  </r>
  <r>
    <x v="54"/>
    <s v="Udlejet"/>
    <x v="3"/>
    <n v="11395"/>
    <n v="1000"/>
    <n v="12395"/>
    <n v="134"/>
    <n v="136740"/>
    <n v="1020.4477611940298"/>
    <m/>
    <d v="2025-06-01T00:00:00"/>
    <d v="2025-05-11T00:00:00"/>
    <d v="2024-09-20T00:00:00"/>
    <x v="29"/>
    <x v="25"/>
  </r>
  <r>
    <x v="55"/>
    <s v="Udlejet"/>
    <x v="2"/>
    <n v="7500"/>
    <n v="900"/>
    <n v="8400"/>
    <n v="98"/>
    <n v="90000"/>
    <n v="918.36734693877554"/>
    <d v="2025-02-03T00:00:00"/>
    <d v="2025-04-15T00:00:00"/>
    <d v="2025-03-21T00:00:00"/>
    <d v="2025-02-03T00:00:00"/>
    <x v="3"/>
    <x v="34"/>
  </r>
  <r>
    <x v="56"/>
    <s v="Udlejet"/>
    <x v="2"/>
    <n v="6495"/>
    <n v="800"/>
    <n v="7295"/>
    <n v="98"/>
    <n v="77940"/>
    <n v="795.30612244897964"/>
    <d v="2024-07-01T00:00:00"/>
    <d v="2025-04-01T00:00:00"/>
    <d v="2025-02-13T00:00:00"/>
    <d v="2024-06-14T00:00:00"/>
    <x v="30"/>
    <x v="35"/>
  </r>
  <r>
    <x v="57"/>
    <s v="Udlejet"/>
    <x v="1"/>
    <n v="6195"/>
    <n v="800"/>
    <n v="6995"/>
    <n v="76"/>
    <n v="74340"/>
    <n v="978.15789473684208"/>
    <d v="2025-01-02T00:00:00"/>
    <d v="2025-02-01T00:00:00"/>
    <d v="2025-01-10T00:00:00"/>
    <d v="2025-01-02T00:00:00"/>
    <x v="31"/>
    <x v="36"/>
  </r>
  <r>
    <x v="58"/>
    <s v="Udlejet"/>
    <x v="2"/>
    <n v="6995"/>
    <n v="1000"/>
    <n v="7995"/>
    <n v="109"/>
    <n v="83940"/>
    <n v="770.09174311926608"/>
    <d v="2024-07-01T00:00:00"/>
    <d v="2025-05-01T00:00:00"/>
    <d v="2025-03-14T00:00:00"/>
    <d v="2024-06-14T00:00:00"/>
    <x v="32"/>
    <x v="37"/>
  </r>
  <r>
    <x v="59"/>
    <s v="Udlejet"/>
    <x v="0"/>
    <n v="7495"/>
    <n v="900"/>
    <n v="8395"/>
    <n v="109"/>
    <n v="89940"/>
    <n v="825.13761467889913"/>
    <d v="2025-02-28T00:00:00"/>
    <d v="2025-06-01T00:00:00"/>
    <d v="2025-04-15T00:00:00"/>
    <d v="2025-02-28T00:00:00"/>
    <x v="14"/>
    <x v="34"/>
  </r>
  <r>
    <x v="60"/>
    <s v="Udlejet"/>
    <x v="2"/>
    <n v="5695"/>
    <n v="700"/>
    <n v="6395"/>
    <n v="75"/>
    <n v="68340"/>
    <n v="911.2"/>
    <d v="2025-04-29T00:00:00"/>
    <d v="2025-08-01T00:00:00"/>
    <d v="2025-07-03T00:00:00"/>
    <d v="2025-04-29T00:00:00"/>
    <x v="33"/>
    <x v="38"/>
  </r>
  <r>
    <x v="61"/>
    <s v="Udlejet"/>
    <x v="0"/>
    <n v="7495"/>
    <n v="1000"/>
    <n v="8495"/>
    <n v="111"/>
    <n v="89940"/>
    <n v="810.27027027027032"/>
    <d v="2025-01-20T00:00:00"/>
    <d v="2025-04-01T00:00:00"/>
    <d v="2025-01-22T00:00:00"/>
    <d v="2024-09-12T00:00:00"/>
    <x v="34"/>
    <x v="39"/>
  </r>
  <r>
    <x v="62"/>
    <s v="Udlejet"/>
    <x v="1"/>
    <n v="4995"/>
    <n v="500"/>
    <n v="5495"/>
    <n v="73"/>
    <n v="59940"/>
    <n v="821.09589041095887"/>
    <m/>
    <d v="2025-08-15T00:00:00"/>
    <d v="2025-07-30T00:00:00"/>
    <d v="2025-02-03T00:00:00"/>
    <x v="35"/>
    <x v="40"/>
  </r>
  <r>
    <x v="63"/>
    <s v="Udlejet"/>
    <x v="2"/>
    <n v="7495"/>
    <n v="1100"/>
    <n v="8595"/>
    <n v="100"/>
    <n v="89940"/>
    <n v="899.4"/>
    <d v="2025-02-03T00:00:00"/>
    <d v="2025-04-01T00:00:00"/>
    <d v="2025-03-11T00:00:00"/>
    <d v="2025-02-03T00:00:00"/>
    <x v="5"/>
    <x v="19"/>
  </r>
  <r>
    <x v="64"/>
    <s v="Udlejet"/>
    <x v="2"/>
    <n v="6295"/>
    <n v="600"/>
    <n v="6895"/>
    <n v="70"/>
    <n v="75540"/>
    <n v="1079.1428571428571"/>
    <d v="2025-04-29T00:00:00"/>
    <d v="2025-07-01T00:00:00"/>
    <d v="2025-05-14T00:00:00"/>
    <d v="2025-04-29T00:00:00"/>
    <x v="36"/>
    <x v="41"/>
  </r>
  <r>
    <x v="65"/>
    <s v="Udlejet"/>
    <x v="2"/>
    <n v="5995"/>
    <n v="700"/>
    <n v="6695"/>
    <n v="66"/>
    <n v="71940"/>
    <n v="1090"/>
    <d v="2025-05-19T00:00:00"/>
    <d v="2025-08-01T00:00:00"/>
    <d v="2025-07-18T00:00:00"/>
    <d v="2025-05-19T00:00:00"/>
    <x v="37"/>
    <x v="42"/>
  </r>
  <r>
    <x v="66"/>
    <s v="Udlejet"/>
    <x v="2"/>
    <n v="6595"/>
    <n v="700"/>
    <n v="7295"/>
    <n v="83"/>
    <n v="79140"/>
    <n v="953.49397590361446"/>
    <d v="2025-07-04T00:00:00"/>
    <d v="2025-08-01T00:00:00"/>
    <d v="2025-07-21T00:00:00"/>
    <d v="2025-07-04T00:00:00"/>
    <x v="38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21823-0290-437C-BCFD-F1562512AEE4}" name="Pivottabel1" cacheId="2618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15">
    <pivotField showAll="0">
      <items count="68">
        <item x="40"/>
        <item x="3"/>
        <item x="1"/>
        <item x="38"/>
        <item x="42"/>
        <item x="0"/>
        <item x="41"/>
        <item x="4"/>
        <item x="25"/>
        <item x="2"/>
        <item x="20"/>
        <item x="43"/>
        <item x="5"/>
        <item x="6"/>
        <item x="29"/>
        <item x="44"/>
        <item x="45"/>
        <item x="46"/>
        <item x="30"/>
        <item x="47"/>
        <item x="48"/>
        <item x="49"/>
        <item x="50"/>
        <item x="51"/>
        <item x="52"/>
        <item x="19"/>
        <item x="7"/>
        <item x="22"/>
        <item x="28"/>
        <item x="34"/>
        <item x="35"/>
        <item x="8"/>
        <item x="33"/>
        <item x="24"/>
        <item x="53"/>
        <item x="9"/>
        <item x="54"/>
        <item x="10"/>
        <item x="11"/>
        <item x="55"/>
        <item x="56"/>
        <item x="37"/>
        <item x="12"/>
        <item x="31"/>
        <item x="13"/>
        <item x="57"/>
        <item x="36"/>
        <item x="14"/>
        <item x="58"/>
        <item x="59"/>
        <item x="60"/>
        <item x="61"/>
        <item x="26"/>
        <item x="27"/>
        <item x="15"/>
        <item x="16"/>
        <item x="21"/>
        <item x="39"/>
        <item x="17"/>
        <item x="62"/>
        <item x="63"/>
        <item x="64"/>
        <item x="65"/>
        <item x="32"/>
        <item x="18"/>
        <item x="23"/>
        <item x="66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>
      <items count="40">
        <item x="25"/>
        <item x="4"/>
        <item x="38"/>
        <item x="31"/>
        <item x="7"/>
        <item x="23"/>
        <item x="13"/>
        <item x="2"/>
        <item x="8"/>
        <item x="5"/>
        <item x="19"/>
        <item x="22"/>
        <item x="11"/>
        <item x="36"/>
        <item x="27"/>
        <item x="15"/>
        <item x="1"/>
        <item x="3"/>
        <item x="10"/>
        <item x="37"/>
        <item x="9"/>
        <item x="6"/>
        <item x="16"/>
        <item x="14"/>
        <item x="33"/>
        <item x="28"/>
        <item x="20"/>
        <item x="12"/>
        <item x="26"/>
        <item x="24"/>
        <item x="21"/>
        <item x="17"/>
        <item x="35"/>
        <item x="34"/>
        <item x="18"/>
        <item x="29"/>
        <item x="30"/>
        <item x="32"/>
        <item x="0"/>
        <item t="default"/>
      </items>
    </pivotField>
    <pivotField showAll="0">
      <items count="45">
        <item x="11"/>
        <item x="31"/>
        <item x="10"/>
        <item x="4"/>
        <item x="36"/>
        <item x="7"/>
        <item x="6"/>
        <item x="41"/>
        <item x="17"/>
        <item x="43"/>
        <item x="0"/>
        <item x="14"/>
        <item x="29"/>
        <item x="18"/>
        <item x="20"/>
        <item x="19"/>
        <item x="26"/>
        <item x="8"/>
        <item x="34"/>
        <item x="33"/>
        <item x="21"/>
        <item x="5"/>
        <item x="13"/>
        <item x="42"/>
        <item x="15"/>
        <item x="30"/>
        <item x="9"/>
        <item x="38"/>
        <item x="2"/>
        <item x="28"/>
        <item x="12"/>
        <item x="27"/>
        <item x="22"/>
        <item x="16"/>
        <item x="32"/>
        <item x="39"/>
        <item x="23"/>
        <item x="1"/>
        <item x="40"/>
        <item x="24"/>
        <item x="25"/>
        <item x="35"/>
        <item x="37"/>
        <item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DE0A0-2FD3-4714-830B-EEFC8C256C9C}" name="Tabel1" displayName="Tabel1" ref="A1:O69" totalsRowShown="0" headerRowDxfId="13" dataDxfId="12">
  <autoFilter ref="A1:O69" xr:uid="{B8FDE0A0-2FD3-4714-830B-EEFC8C256C9C}"/>
  <sortState xmlns:xlrd2="http://schemas.microsoft.com/office/spreadsheetml/2017/richdata2" ref="A2:O68">
    <sortCondition ref="N1:N68"/>
  </sortState>
  <tableColumns count="15">
    <tableColumn id="1" xr3:uid="{779370DD-F757-4B6E-B27F-6C393F31CD8D}" name="Adresse"/>
    <tableColumn id="2" xr3:uid="{4A1F5463-7A21-4E8C-A26E-CB8E9067CBA9}" name="Status" dataDxfId="11"/>
    <tableColumn id="3" xr3:uid="{5C07A026-7227-41D2-BD4A-C823E25B40EC}" name="Værelser" dataDxfId="10"/>
    <tableColumn id="4" xr3:uid="{756BA18F-4E63-415C-8260-9D234D1719C6}" name="Rå leje"/>
    <tableColumn id="5" xr3:uid="{7E364627-512D-485A-9840-57C6304E423C}" name="Aconto" dataDxfId="9"/>
    <tableColumn id="6" xr3:uid="{90F3A55B-087B-4ADA-959F-EF15EC943B84}" name="Månedlig leje" dataDxfId="8"/>
    <tableColumn id="7" xr3:uid="{E51E6F24-1F18-4745-982A-A62C2C20BA9C}" name="M2" dataDxfId="7"/>
    <tableColumn id="8" xr3:uid="{8F758B08-1B91-41CF-AEF2-DF3A85E995B1}" name="Årlig leje" dataDxfId="6"/>
    <tableColumn id="9" xr3:uid="{13B3294F-6307-4A3F-BF71-01FF5A7770BB}" name="pr. m2" dataDxfId="5"/>
    <tableColumn id="10" xr3:uid="{063E69D3-FFD9-4691-9D63-71B6F79F610B}" name="Ledig fra" dataDxfId="4"/>
    <tableColumn id="13" xr3:uid="{44B657FF-8D65-4E8B-99B7-75055ADE23F9}" name="Indflytning d." dataDxfId="3"/>
    <tableColumn id="14" xr3:uid="{6538D643-4FD9-4D16-B19A-DE80E4FF41F1}" name="info sendt." dataDxfId="2"/>
    <tableColumn id="16" xr3:uid="{B0812986-278D-4EEC-9E4B-C7899D31CE0D}" name="Fik den"/>
    <tableColumn id="19" xr3:uid="{313F9182-B4B9-4D01-B367-5B1ED591266A}" name="dage fra &quot;Fik den&quot; den til &quot;Indflytning&quot;" dataDxfId="1">
      <calculatedColumnFormula>IF(ISBLANK(Tabel1[[#This Row],[Indflytning d.]])," ",_xlfn.DAYS(Tabel1[[#This Row],[Indflytning d.]],Tabel1[[#This Row],[Fik den]]))</calculatedColumnFormula>
    </tableColumn>
    <tableColumn id="15" xr3:uid="{BAE28F5B-1DB9-4D2F-A683-4110E39AE7BD}" name="dage fra &quot;Fik den&quot; den til &quot;info sendt&quot;" dataDxfId="0">
      <calculatedColumnFormula>IF(ISBLANK(Tabel1[[#This Row],[info sendt.]])," ",_xlfn.DAYS(Tabel1[[#This Row],[info sendt.]],Tabel1[[#This Row],[Fik den]]))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7C9D-412C-4C75-A79D-049004EAF186}">
  <dimension ref="A3:C20"/>
  <sheetViews>
    <sheetView zoomScale="55" zoomScaleNormal="55" workbookViewId="0">
      <selection activeCell="D19" sqref="D19"/>
    </sheetView>
  </sheetViews>
  <sheetFormatPr defaultRowHeight="15"/>
  <cols>
    <col min="1" max="44" width="26.42578125" bestFit="1" customWidth="1"/>
    <col min="45" max="46" width="15.140625" bestFit="1" customWidth="1"/>
    <col min="47" max="78" width="43" bestFit="1" customWidth="1"/>
    <col min="79" max="79" width="48" bestFit="1" customWidth="1"/>
    <col min="80" max="80" width="20.7109375" bestFit="1" customWidth="1"/>
  </cols>
  <sheetData>
    <row r="3" spans="1:3">
      <c r="A3" s="71"/>
      <c r="B3" s="72"/>
      <c r="C3" s="73"/>
    </row>
    <row r="4" spans="1:3">
      <c r="A4" s="74"/>
      <c r="B4" s="75"/>
      <c r="C4" s="76"/>
    </row>
    <row r="5" spans="1:3">
      <c r="A5" s="74"/>
      <c r="B5" s="75"/>
      <c r="C5" s="76"/>
    </row>
    <row r="6" spans="1:3">
      <c r="A6" s="74"/>
      <c r="B6" s="75"/>
      <c r="C6" s="76"/>
    </row>
    <row r="7" spans="1:3">
      <c r="A7" s="74"/>
      <c r="B7" s="75"/>
      <c r="C7" s="76"/>
    </row>
    <row r="8" spans="1:3">
      <c r="A8" s="74"/>
      <c r="B8" s="75"/>
      <c r="C8" s="76"/>
    </row>
    <row r="9" spans="1:3">
      <c r="A9" s="74"/>
      <c r="B9" s="75"/>
      <c r="C9" s="76"/>
    </row>
    <row r="10" spans="1:3">
      <c r="A10" s="74"/>
      <c r="B10" s="75"/>
      <c r="C10" s="76"/>
    </row>
    <row r="11" spans="1:3">
      <c r="A11" s="74"/>
      <c r="B11" s="75"/>
      <c r="C11" s="76"/>
    </row>
    <row r="12" spans="1:3">
      <c r="A12" s="74"/>
      <c r="B12" s="75"/>
      <c r="C12" s="76"/>
    </row>
    <row r="13" spans="1:3">
      <c r="A13" s="74"/>
      <c r="B13" s="75"/>
      <c r="C13" s="76"/>
    </row>
    <row r="14" spans="1:3">
      <c r="A14" s="74"/>
      <c r="B14" s="75"/>
      <c r="C14" s="76"/>
    </row>
    <row r="15" spans="1:3">
      <c r="A15" s="74"/>
      <c r="B15" s="75"/>
      <c r="C15" s="76"/>
    </row>
    <row r="16" spans="1:3">
      <c r="A16" s="74"/>
      <c r="B16" s="75"/>
      <c r="C16" s="76"/>
    </row>
    <row r="17" spans="1:3">
      <c r="A17" s="74"/>
      <c r="B17" s="75"/>
      <c r="C17" s="76"/>
    </row>
    <row r="18" spans="1:3">
      <c r="A18" s="74"/>
      <c r="B18" s="75"/>
      <c r="C18" s="76"/>
    </row>
    <row r="19" spans="1:3">
      <c r="A19" s="74"/>
      <c r="B19" s="75"/>
      <c r="C19" s="76"/>
    </row>
    <row r="20" spans="1:3">
      <c r="A20" s="77"/>
      <c r="B20" s="78"/>
      <c r="C20" s="7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9"/>
  <sheetViews>
    <sheetView tabSelected="1" topLeftCell="A44" zoomScale="85" zoomScaleNormal="85" workbookViewId="0">
      <selection activeCell="B53" sqref="B53"/>
    </sheetView>
  </sheetViews>
  <sheetFormatPr defaultRowHeight="15"/>
  <cols>
    <col min="1" max="1" width="26.7109375" bestFit="1" customWidth="1"/>
    <col min="2" max="2" width="12.42578125" bestFit="1" customWidth="1"/>
    <col min="3" max="3" width="11.28515625" customWidth="1"/>
    <col min="4" max="4" width="22.7109375" bestFit="1" customWidth="1"/>
    <col min="5" max="5" width="9.42578125" hidden="1" customWidth="1"/>
    <col min="6" max="6" width="15.42578125" hidden="1" customWidth="1"/>
    <col min="8" max="8" width="11.140625" customWidth="1"/>
    <col min="10" max="10" width="15" hidden="1" customWidth="1"/>
    <col min="11" max="11" width="20" hidden="1" customWidth="1"/>
    <col min="12" max="12" width="14.42578125" style="24" hidden="1" customWidth="1"/>
    <col min="13" max="13" width="33.7109375" hidden="1" customWidth="1"/>
    <col min="14" max="15" width="40.85546875" customWidth="1"/>
    <col min="16" max="16" width="21.7109375" style="57" customWidth="1"/>
    <col min="17" max="18" width="9.140625" style="57"/>
    <col min="19" max="19" width="12" style="57" bestFit="1" customWidth="1"/>
    <col min="20" max="23" width="9.140625" style="57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0" t="s">
        <v>11</v>
      </c>
      <c r="M1" t="s">
        <v>12</v>
      </c>
      <c r="N1" s="26" t="s">
        <v>13</v>
      </c>
      <c r="O1" s="26" t="s">
        <v>14</v>
      </c>
    </row>
    <row r="2" spans="1:15">
      <c r="A2" s="69" t="s">
        <v>15</v>
      </c>
      <c r="B2" s="49" t="s">
        <v>16</v>
      </c>
      <c r="C2" s="6">
        <v>2</v>
      </c>
      <c r="D2" s="10">
        <v>5295</v>
      </c>
      <c r="E2" s="6">
        <v>700</v>
      </c>
      <c r="F2" s="6">
        <v>5995</v>
      </c>
      <c r="G2" s="6">
        <v>76</v>
      </c>
      <c r="H2" s="5">
        <v>63540</v>
      </c>
      <c r="I2" s="7">
        <v>836.0526315789474</v>
      </c>
      <c r="J2" s="17">
        <v>45870</v>
      </c>
      <c r="K2" s="15">
        <v>45894</v>
      </c>
      <c r="L2" s="20">
        <v>45873</v>
      </c>
      <c r="M2" s="20">
        <v>45871</v>
      </c>
      <c r="N2" s="53">
        <f>IF(ISBLANK(Tabel1[[#This Row],[Indflytning d.]])," ",_xlfn.DAYS(Tabel1[[#This Row],[Indflytning d.]],Tabel1[[#This Row],[Fik den]]))</f>
        <v>23</v>
      </c>
      <c r="O2" s="9">
        <f>IF(ISBLANK(Tabel1[[#This Row],[info sendt.]])," ",_xlfn.DAYS(Tabel1[[#This Row],[info sendt.]],Tabel1[[#This Row],[Fik den]]))</f>
        <v>2</v>
      </c>
    </row>
    <row r="3" spans="1:15">
      <c r="A3" s="92" t="s">
        <v>17</v>
      </c>
      <c r="B3" t="s">
        <v>16</v>
      </c>
      <c r="C3" s="10">
        <v>3</v>
      </c>
      <c r="D3" s="11">
        <v>5995</v>
      </c>
      <c r="E3" s="10">
        <v>800</v>
      </c>
      <c r="F3" s="10">
        <v>6795</v>
      </c>
      <c r="G3" s="10">
        <v>85</v>
      </c>
      <c r="H3">
        <v>71940</v>
      </c>
      <c r="I3" s="12">
        <v>846.35294117647061</v>
      </c>
      <c r="J3" s="18">
        <v>45444</v>
      </c>
      <c r="K3" s="25">
        <v>45474</v>
      </c>
      <c r="L3" s="25">
        <v>45462</v>
      </c>
      <c r="M3" s="18">
        <v>45448</v>
      </c>
      <c r="N3" s="9">
        <f>IF(ISBLANK(Tabel1[[#This Row],[Indflytning d.]])," ",_xlfn.DAYS(Tabel1[[#This Row],[Indflytning d.]],Tabel1[[#This Row],[Fik den]]))</f>
        <v>26</v>
      </c>
      <c r="O3" s="9">
        <f>IF(ISBLANK(Tabel1[[#This Row],[info sendt.]])," ",_xlfn.DAYS(Tabel1[[#This Row],[info sendt.]],Tabel1[[#This Row],[Fik den]]))</f>
        <v>14</v>
      </c>
    </row>
    <row r="4" spans="1:15">
      <c r="A4" s="65" t="s">
        <v>18</v>
      </c>
      <c r="B4" s="5" t="s">
        <v>16</v>
      </c>
      <c r="C4" s="6">
        <v>3</v>
      </c>
      <c r="D4">
        <v>6595</v>
      </c>
      <c r="E4" s="6">
        <v>700</v>
      </c>
      <c r="F4" s="6">
        <v>7295</v>
      </c>
      <c r="G4" s="6">
        <v>83</v>
      </c>
      <c r="H4" s="5">
        <v>79140</v>
      </c>
      <c r="I4" s="7">
        <v>953.49397590361446</v>
      </c>
      <c r="J4" s="17">
        <v>45842</v>
      </c>
      <c r="K4" s="25">
        <v>45870</v>
      </c>
      <c r="L4" s="22">
        <v>45859</v>
      </c>
      <c r="M4" s="70">
        <v>45842</v>
      </c>
      <c r="N4" s="9">
        <f>IF(ISBLANK(Tabel1[[#This Row],[Indflytning d.]])," ",_xlfn.DAYS(Tabel1[[#This Row],[Indflytning d.]],Tabel1[[#This Row],[Fik den]]))</f>
        <v>28</v>
      </c>
      <c r="O4" s="9">
        <f>IF(ISBLANK(Tabel1[[#This Row],[info sendt.]])," ",_xlfn.DAYS(Tabel1[[#This Row],[info sendt.]],Tabel1[[#This Row],[Fik den]]))</f>
        <v>17</v>
      </c>
    </row>
    <row r="5" spans="1:15">
      <c r="A5" s="29" t="s">
        <v>19</v>
      </c>
      <c r="B5" s="5" t="s">
        <v>16</v>
      </c>
      <c r="C5" s="6">
        <v>2</v>
      </c>
      <c r="D5">
        <v>6195</v>
      </c>
      <c r="E5" s="6">
        <v>800</v>
      </c>
      <c r="F5" s="6">
        <v>6995</v>
      </c>
      <c r="G5" s="6">
        <v>76</v>
      </c>
      <c r="H5" s="5">
        <v>74340</v>
      </c>
      <c r="I5" s="7">
        <v>978.15789473684208</v>
      </c>
      <c r="J5" s="17">
        <v>45659</v>
      </c>
      <c r="K5" s="43">
        <v>45689</v>
      </c>
      <c r="L5" s="22">
        <v>45667</v>
      </c>
      <c r="M5" s="24">
        <v>45659</v>
      </c>
      <c r="N5" s="9">
        <f>IF(ISBLANK(Tabel1[[#This Row],[Indflytning d.]])," ",_xlfn.DAYS(Tabel1[[#This Row],[Indflytning d.]],Tabel1[[#This Row],[Fik den]]))</f>
        <v>30</v>
      </c>
      <c r="O5" s="9">
        <f>IF(ISBLANK(Tabel1[[#This Row],[info sendt.]])," ",_xlfn.DAYS(Tabel1[[#This Row],[info sendt.]],Tabel1[[#This Row],[Fik den]]))</f>
        <v>8</v>
      </c>
    </row>
    <row r="6" spans="1:15" ht="15.75">
      <c r="A6" s="91" t="s">
        <v>20</v>
      </c>
      <c r="B6" t="s">
        <v>16</v>
      </c>
      <c r="C6" s="10">
        <v>3</v>
      </c>
      <c r="D6" s="10">
        <v>6495</v>
      </c>
      <c r="E6" s="10">
        <v>800</v>
      </c>
      <c r="F6" s="10">
        <v>7295</v>
      </c>
      <c r="G6" s="16">
        <v>84</v>
      </c>
      <c r="H6">
        <v>77940</v>
      </c>
      <c r="I6" s="12">
        <v>927.85714285714289</v>
      </c>
      <c r="J6" s="25">
        <v>45444</v>
      </c>
      <c r="K6" s="25">
        <v>45444</v>
      </c>
      <c r="L6" s="25">
        <v>45418</v>
      </c>
      <c r="M6" s="24">
        <v>45413</v>
      </c>
      <c r="N6" s="9">
        <f>IF(ISBLANK(Tabel1[[#This Row],[Indflytning d.]])," ",_xlfn.DAYS(Tabel1[[#This Row],[Indflytning d.]],Tabel1[[#This Row],[Fik den]]))</f>
        <v>31</v>
      </c>
      <c r="O6" s="9">
        <f>IF(ISBLANK(Tabel1[[#This Row],[info sendt.]])," ",_xlfn.DAYS(Tabel1[[#This Row],[info sendt.]],Tabel1[[#This Row],[Fik den]]))</f>
        <v>5</v>
      </c>
    </row>
    <row r="7" spans="1:15">
      <c r="A7" s="69" t="s">
        <v>21</v>
      </c>
      <c r="B7" s="5" t="s">
        <v>16</v>
      </c>
      <c r="C7" s="6">
        <v>2</v>
      </c>
      <c r="D7">
        <v>3995</v>
      </c>
      <c r="E7" s="6">
        <v>400</v>
      </c>
      <c r="F7" s="14">
        <v>4395</v>
      </c>
      <c r="G7" s="6">
        <v>50</v>
      </c>
      <c r="H7" s="50">
        <v>47940</v>
      </c>
      <c r="I7" s="7">
        <v>958.8</v>
      </c>
      <c r="J7" s="17">
        <v>45702</v>
      </c>
      <c r="K7" s="41">
        <v>45736</v>
      </c>
      <c r="L7" s="22">
        <v>45730</v>
      </c>
      <c r="M7" s="24">
        <v>45702</v>
      </c>
      <c r="N7" s="9">
        <f>IF(ISBLANK(Tabel1[[#This Row],[Indflytning d.]])," ",_xlfn.DAYS(Tabel1[[#This Row],[Indflytning d.]],Tabel1[[#This Row],[Fik den]]))</f>
        <v>34</v>
      </c>
      <c r="O7" s="9">
        <f>IF(ISBLANK(Tabel1[[#This Row],[info sendt.]])," ",_xlfn.DAYS(Tabel1[[#This Row],[info sendt.]],Tabel1[[#This Row],[Fik den]]))</f>
        <v>28</v>
      </c>
    </row>
    <row r="8" spans="1:15">
      <c r="A8" s="93" t="s">
        <v>22</v>
      </c>
      <c r="B8" s="5" t="s">
        <v>16</v>
      </c>
      <c r="C8" s="6">
        <v>3</v>
      </c>
      <c r="D8" s="6">
        <v>7295</v>
      </c>
      <c r="E8" s="6">
        <v>800</v>
      </c>
      <c r="F8" s="6">
        <v>8095</v>
      </c>
      <c r="G8" s="6">
        <v>110</v>
      </c>
      <c r="H8" s="5">
        <v>87540</v>
      </c>
      <c r="I8" s="7">
        <v>795.81818181818187</v>
      </c>
      <c r="J8" s="19">
        <v>45525</v>
      </c>
      <c r="K8" s="20">
        <v>45566</v>
      </c>
      <c r="L8" s="20">
        <v>45553</v>
      </c>
      <c r="M8" s="24">
        <v>45525</v>
      </c>
      <c r="N8" s="9">
        <f>IF(ISBLANK(Tabel1[[#This Row],[Indflytning d.]])," ",_xlfn.DAYS(Tabel1[[#This Row],[Indflytning d.]],Tabel1[[#This Row],[Fik den]]))</f>
        <v>41</v>
      </c>
      <c r="O8" s="9">
        <f>IF(ISBLANK(Tabel1[[#This Row],[info sendt.]])," ",_xlfn.DAYS(Tabel1[[#This Row],[info sendt.]],Tabel1[[#This Row],[Fik den]]))</f>
        <v>28</v>
      </c>
    </row>
    <row r="9" spans="1:15">
      <c r="A9" s="84" t="s">
        <v>23</v>
      </c>
      <c r="B9" s="5" t="s">
        <v>16</v>
      </c>
      <c r="C9" s="6">
        <v>2</v>
      </c>
      <c r="D9" s="6">
        <v>5495</v>
      </c>
      <c r="E9" s="6">
        <v>500</v>
      </c>
      <c r="F9" s="6">
        <v>5995</v>
      </c>
      <c r="G9" s="6">
        <v>58</v>
      </c>
      <c r="H9" s="5">
        <v>65940</v>
      </c>
      <c r="I9" s="7">
        <v>1136.8965517241379</v>
      </c>
      <c r="J9" s="17">
        <v>45480</v>
      </c>
      <c r="K9" s="22">
        <v>45597</v>
      </c>
      <c r="L9" s="22">
        <v>45560</v>
      </c>
      <c r="M9" s="24">
        <v>45553</v>
      </c>
      <c r="N9" s="9">
        <f>IF(ISBLANK(Tabel1[[#This Row],[Indflytning d.]])," ",_xlfn.DAYS(Tabel1[[#This Row],[Indflytning d.]],Tabel1[[#This Row],[Fik den]]))</f>
        <v>44</v>
      </c>
      <c r="O9" s="9">
        <f>IF(ISBLANK(Tabel1[[#This Row],[info sendt.]])," ",_xlfn.DAYS(Tabel1[[#This Row],[info sendt.]],Tabel1[[#This Row],[Fik den]]))</f>
        <v>7</v>
      </c>
    </row>
    <row r="10" spans="1:15">
      <c r="A10" s="28" t="s">
        <v>24</v>
      </c>
      <c r="B10" s="5" t="s">
        <v>16</v>
      </c>
      <c r="C10" s="6">
        <v>2</v>
      </c>
      <c r="D10" s="6">
        <v>6395</v>
      </c>
      <c r="E10" s="6">
        <v>800</v>
      </c>
      <c r="F10" s="6">
        <v>7195</v>
      </c>
      <c r="G10" s="6">
        <v>66</v>
      </c>
      <c r="H10" s="5">
        <v>76740</v>
      </c>
      <c r="I10" s="7">
        <v>1162.7272727272727</v>
      </c>
      <c r="J10" s="17">
        <v>45580</v>
      </c>
      <c r="K10" s="22">
        <v>45597</v>
      </c>
      <c r="L10" s="22">
        <v>45565</v>
      </c>
      <c r="M10" s="24">
        <v>45553</v>
      </c>
      <c r="N10" s="9">
        <f>IF(ISBLANK(Tabel1[[#This Row],[Indflytning d.]])," ",_xlfn.DAYS(Tabel1[[#This Row],[Indflytning d.]],Tabel1[[#This Row],[Fik den]]))</f>
        <v>44</v>
      </c>
      <c r="O10" s="9">
        <f>IF(ISBLANK(Tabel1[[#This Row],[info sendt.]])," ",_xlfn.DAYS(Tabel1[[#This Row],[info sendt.]],Tabel1[[#This Row],[Fik den]]))</f>
        <v>12</v>
      </c>
    </row>
    <row r="11" spans="1:15">
      <c r="A11" s="87" t="s">
        <v>25</v>
      </c>
      <c r="B11" s="5" t="s">
        <v>16</v>
      </c>
      <c r="C11" s="6">
        <v>3</v>
      </c>
      <c r="D11" s="14">
        <v>6495</v>
      </c>
      <c r="E11" s="6">
        <v>800</v>
      </c>
      <c r="F11" s="6">
        <v>7295</v>
      </c>
      <c r="G11" s="6">
        <v>82</v>
      </c>
      <c r="H11" s="5">
        <v>77940</v>
      </c>
      <c r="I11" s="7">
        <v>950.48780487804879</v>
      </c>
      <c r="J11" s="8">
        <v>45505</v>
      </c>
      <c r="K11" s="22">
        <v>45505</v>
      </c>
      <c r="L11" s="24">
        <v>45454</v>
      </c>
      <c r="M11" s="24">
        <v>45454</v>
      </c>
      <c r="N11" s="9">
        <f>IF(ISBLANK(Tabel1[[#This Row],[Indflytning d.]])," ",_xlfn.DAYS(Tabel1[[#This Row],[Indflytning d.]],Tabel1[[#This Row],[Fik den]]))</f>
        <v>51</v>
      </c>
      <c r="O11" s="9">
        <f>IF(ISBLANK(Tabel1[[#This Row],[info sendt.]])," ",_xlfn.DAYS(Tabel1[[#This Row],[info sendt.]],Tabel1[[#This Row],[Fik den]]))</f>
        <v>0</v>
      </c>
    </row>
    <row r="12" spans="1:15">
      <c r="A12" s="97" t="s">
        <v>26</v>
      </c>
      <c r="B12" t="s">
        <v>16</v>
      </c>
      <c r="C12" s="10">
        <v>3</v>
      </c>
      <c r="D12" s="11">
        <v>6449</v>
      </c>
      <c r="E12" s="10">
        <v>650</v>
      </c>
      <c r="F12" s="10">
        <v>7099</v>
      </c>
      <c r="G12" s="10">
        <v>73</v>
      </c>
      <c r="H12">
        <v>77388</v>
      </c>
      <c r="I12" s="12">
        <v>1060.1095890410959</v>
      </c>
      <c r="J12" s="13">
        <v>45474</v>
      </c>
      <c r="K12" s="25">
        <v>45505</v>
      </c>
      <c r="L12" s="25">
        <v>45492</v>
      </c>
      <c r="M12" s="24">
        <v>45448</v>
      </c>
      <c r="N12" s="9">
        <f>IF(ISBLANK(Tabel1[[#This Row],[Indflytning d.]])," ",_xlfn.DAYS(Tabel1[[#This Row],[Indflytning d.]],Tabel1[[#This Row],[Fik den]]))</f>
        <v>57</v>
      </c>
      <c r="O12" s="9">
        <f>IF(ISBLANK(Tabel1[[#This Row],[info sendt.]])," ",_xlfn.DAYS(Tabel1[[#This Row],[info sendt.]],Tabel1[[#This Row],[Fik den]]))</f>
        <v>44</v>
      </c>
    </row>
    <row r="13" spans="1:15">
      <c r="A13" s="95" t="s">
        <v>27</v>
      </c>
      <c r="B13" s="5" t="s">
        <v>16</v>
      </c>
      <c r="C13" s="6">
        <v>3</v>
      </c>
      <c r="D13" s="37">
        <v>7495</v>
      </c>
      <c r="E13" s="6">
        <v>1100</v>
      </c>
      <c r="F13" s="6">
        <v>8595</v>
      </c>
      <c r="G13" s="6">
        <v>100</v>
      </c>
      <c r="H13" s="5">
        <v>89940</v>
      </c>
      <c r="I13" s="7">
        <v>899.4</v>
      </c>
      <c r="J13" s="17">
        <v>45691</v>
      </c>
      <c r="K13" s="45">
        <v>45748</v>
      </c>
      <c r="L13" s="22">
        <v>45727</v>
      </c>
      <c r="M13" s="38">
        <v>45691</v>
      </c>
      <c r="N13" s="9">
        <f>IF(ISBLANK(Tabel1[[#This Row],[Indflytning d.]])," ",_xlfn.DAYS(Tabel1[[#This Row],[Indflytning d.]],Tabel1[[#This Row],[Fik den]]))</f>
        <v>57</v>
      </c>
      <c r="O13" s="9">
        <f>IF(ISBLANK(Tabel1[[#This Row],[info sendt.]])," ",_xlfn.DAYS(Tabel1[[#This Row],[info sendt.]],Tabel1[[#This Row],[Fik den]]))</f>
        <v>36</v>
      </c>
    </row>
    <row r="14" spans="1:15">
      <c r="A14" s="29" t="s">
        <v>28</v>
      </c>
      <c r="B14" s="5" t="s">
        <v>16</v>
      </c>
      <c r="C14" s="6">
        <v>3</v>
      </c>
      <c r="D14" s="11">
        <v>6595</v>
      </c>
      <c r="E14" s="6">
        <v>800</v>
      </c>
      <c r="F14" s="6">
        <v>7395</v>
      </c>
      <c r="G14" s="6">
        <v>85</v>
      </c>
      <c r="H14" s="5">
        <v>79140</v>
      </c>
      <c r="I14" s="7">
        <v>931.05882352941171</v>
      </c>
      <c r="J14" s="17">
        <v>45627</v>
      </c>
      <c r="K14" s="25">
        <v>45658</v>
      </c>
      <c r="L14" s="22">
        <v>45637</v>
      </c>
      <c r="M14" s="24">
        <v>45600</v>
      </c>
      <c r="N14" s="9">
        <f>IF(ISBLANK(Tabel1[[#This Row],[Indflytning d.]])," ",_xlfn.DAYS(Tabel1[[#This Row],[Indflytning d.]],Tabel1[[#This Row],[Fik den]]))</f>
        <v>58</v>
      </c>
      <c r="O14" s="9">
        <f>IF(ISBLANK(Tabel1[[#This Row],[info sendt.]])," ",_xlfn.DAYS(Tabel1[[#This Row],[info sendt.]],Tabel1[[#This Row],[Fik den]]))</f>
        <v>37</v>
      </c>
    </row>
    <row r="15" spans="1:15">
      <c r="A15" s="69" t="s">
        <v>29</v>
      </c>
      <c r="B15" s="5" t="s">
        <v>16</v>
      </c>
      <c r="C15" s="6">
        <v>2</v>
      </c>
      <c r="D15">
        <v>3995</v>
      </c>
      <c r="E15" s="6">
        <v>400</v>
      </c>
      <c r="F15" s="14">
        <v>4395</v>
      </c>
      <c r="G15" s="6">
        <v>50</v>
      </c>
      <c r="H15" s="50">
        <v>47940</v>
      </c>
      <c r="I15" s="7">
        <v>958.8</v>
      </c>
      <c r="J15" s="17">
        <v>45702</v>
      </c>
      <c r="K15" s="43">
        <v>45762</v>
      </c>
      <c r="L15" s="22">
        <v>45727</v>
      </c>
      <c r="M15" s="24">
        <v>45702</v>
      </c>
      <c r="N15" s="9">
        <f>IF(ISBLANK(Tabel1[[#This Row],[Indflytning d.]])," ",_xlfn.DAYS(Tabel1[[#This Row],[Indflytning d.]],Tabel1[[#This Row],[Fik den]]))</f>
        <v>60</v>
      </c>
      <c r="O15" s="9">
        <f>IF(ISBLANK(Tabel1[[#This Row],[info sendt.]])," ",_xlfn.DAYS(Tabel1[[#This Row],[info sendt.]],Tabel1[[#This Row],[Fik den]]))</f>
        <v>25</v>
      </c>
    </row>
    <row r="16" spans="1:15">
      <c r="A16" s="91" t="s">
        <v>30</v>
      </c>
      <c r="B16" t="s">
        <v>16</v>
      </c>
      <c r="C16" s="10">
        <v>3</v>
      </c>
      <c r="D16" s="10">
        <v>6995</v>
      </c>
      <c r="E16" s="10">
        <v>700</v>
      </c>
      <c r="F16" s="10">
        <v>7695</v>
      </c>
      <c r="G16" s="16">
        <v>78</v>
      </c>
      <c r="H16">
        <v>83940</v>
      </c>
      <c r="I16" s="12">
        <v>1076.1538461538462</v>
      </c>
      <c r="J16" s="18">
        <v>45474</v>
      </c>
      <c r="K16" s="25">
        <v>45474</v>
      </c>
      <c r="L16" s="24">
        <v>45435</v>
      </c>
      <c r="M16" s="24">
        <v>45412</v>
      </c>
      <c r="N16" s="9">
        <f>IF(ISBLANK(Tabel1[[#This Row],[Indflytning d.]])," ",_xlfn.DAYS(Tabel1[[#This Row],[Indflytning d.]],Tabel1[[#This Row],[Fik den]]))</f>
        <v>62</v>
      </c>
      <c r="O16" s="9">
        <f>IF(ISBLANK(Tabel1[[#This Row],[info sendt.]])," ",_xlfn.DAYS(Tabel1[[#This Row],[info sendt.]],Tabel1[[#This Row],[Fik den]]))</f>
        <v>23</v>
      </c>
    </row>
    <row r="17" spans="1:22">
      <c r="A17" s="91" t="s">
        <v>31</v>
      </c>
      <c r="B17" t="s">
        <v>16</v>
      </c>
      <c r="C17" s="10">
        <v>3</v>
      </c>
      <c r="D17" s="10">
        <v>7195</v>
      </c>
      <c r="E17" s="10">
        <v>700</v>
      </c>
      <c r="F17" s="10">
        <v>7895</v>
      </c>
      <c r="G17" s="16">
        <v>84</v>
      </c>
      <c r="H17">
        <v>86340</v>
      </c>
      <c r="I17" s="12">
        <v>1027.8571428571429</v>
      </c>
      <c r="J17" s="18">
        <v>45444</v>
      </c>
      <c r="K17" s="25">
        <v>45474</v>
      </c>
      <c r="L17" s="25">
        <v>45428</v>
      </c>
      <c r="M17" s="24">
        <v>45412</v>
      </c>
      <c r="N17" s="9">
        <f>IF(ISBLANK(Tabel1[[#This Row],[Indflytning d.]])," ",_xlfn.DAYS(Tabel1[[#This Row],[Indflytning d.]],Tabel1[[#This Row],[Fik den]]))</f>
        <v>62</v>
      </c>
      <c r="O17" s="9">
        <f>IF(ISBLANK(Tabel1[[#This Row],[info sendt.]])," ",_xlfn.DAYS(Tabel1[[#This Row],[info sendt.]],Tabel1[[#This Row],[Fik den]]))</f>
        <v>16</v>
      </c>
    </row>
    <row r="18" spans="1:22">
      <c r="A18" s="69" t="s">
        <v>32</v>
      </c>
      <c r="B18" s="47" t="s">
        <v>16</v>
      </c>
      <c r="C18" s="6">
        <v>3</v>
      </c>
      <c r="D18" s="10">
        <v>6295</v>
      </c>
      <c r="E18" s="6">
        <v>600</v>
      </c>
      <c r="F18" s="6">
        <v>6895</v>
      </c>
      <c r="G18" s="6">
        <v>70</v>
      </c>
      <c r="H18" s="5">
        <v>75540</v>
      </c>
      <c r="I18" s="7">
        <v>1079.1428571428571</v>
      </c>
      <c r="J18" s="17">
        <v>45776</v>
      </c>
      <c r="K18" s="15">
        <v>45839</v>
      </c>
      <c r="L18" s="22">
        <v>45791</v>
      </c>
      <c r="M18" s="24">
        <v>45776</v>
      </c>
      <c r="N18" s="53">
        <f>IF(ISBLANK(Tabel1[[#This Row],[Indflytning d.]])," ",_xlfn.DAYS(Tabel1[[#This Row],[Indflytning d.]],Tabel1[[#This Row],[Fik den]]))</f>
        <v>63</v>
      </c>
      <c r="O18" s="9">
        <f>IF(ISBLANK(Tabel1[[#This Row],[info sendt.]])," ",_xlfn.DAYS(Tabel1[[#This Row],[info sendt.]],Tabel1[[#This Row],[Fik den]]))</f>
        <v>15</v>
      </c>
    </row>
    <row r="19" spans="1:22">
      <c r="A19" s="89" t="s">
        <v>33</v>
      </c>
      <c r="B19" s="5" t="s">
        <v>16</v>
      </c>
      <c r="C19" s="6">
        <v>2</v>
      </c>
      <c r="D19" s="11">
        <v>4995</v>
      </c>
      <c r="E19" s="6">
        <v>550</v>
      </c>
      <c r="F19" s="6">
        <v>5545</v>
      </c>
      <c r="G19" s="6">
        <v>63</v>
      </c>
      <c r="H19" s="5">
        <v>59940</v>
      </c>
      <c r="I19" s="7">
        <v>951.42857142857144</v>
      </c>
      <c r="J19" s="17">
        <v>45292</v>
      </c>
      <c r="K19" s="43">
        <v>45678</v>
      </c>
      <c r="L19" s="22">
        <v>45660</v>
      </c>
      <c r="M19" s="24">
        <v>45610</v>
      </c>
      <c r="N19" s="9">
        <f>IF(ISBLANK(Tabel1[[#This Row],[Indflytning d.]])," ",_xlfn.DAYS(Tabel1[[#This Row],[Indflytning d.]],Tabel1[[#This Row],[Fik den]]))</f>
        <v>68</v>
      </c>
      <c r="O19" s="9">
        <f>IF(ISBLANK(Tabel1[[#This Row],[info sendt.]])," ",_xlfn.DAYS(Tabel1[[#This Row],[info sendt.]],Tabel1[[#This Row],[Fik den]]))</f>
        <v>50</v>
      </c>
    </row>
    <row r="20" spans="1:22">
      <c r="A20" s="28" t="s">
        <v>34</v>
      </c>
      <c r="B20" s="5" t="s">
        <v>16</v>
      </c>
      <c r="C20" s="6">
        <v>3</v>
      </c>
      <c r="D20" s="6">
        <v>7995</v>
      </c>
      <c r="E20" s="6">
        <v>800</v>
      </c>
      <c r="F20" s="6">
        <v>8795</v>
      </c>
      <c r="G20" s="6">
        <v>96</v>
      </c>
      <c r="H20" s="5">
        <v>95940</v>
      </c>
      <c r="I20" s="7">
        <v>999.375</v>
      </c>
      <c r="J20" s="17">
        <v>45474</v>
      </c>
      <c r="K20" s="22">
        <v>45536</v>
      </c>
      <c r="L20" s="22">
        <v>45520</v>
      </c>
      <c r="M20" s="24">
        <v>45467</v>
      </c>
      <c r="N20" s="9">
        <f>IF(ISBLANK(Tabel1[[#This Row],[Indflytning d.]])," ",_xlfn.DAYS(Tabel1[[#This Row],[Indflytning d.]],Tabel1[[#This Row],[Fik den]]))</f>
        <v>69</v>
      </c>
      <c r="O20" s="9">
        <f>IF(ISBLANK(Tabel1[[#This Row],[info sendt.]])," ",_xlfn.DAYS(Tabel1[[#This Row],[info sendt.]],Tabel1[[#This Row],[Fik den]]))</f>
        <v>53</v>
      </c>
    </row>
    <row r="21" spans="1:22">
      <c r="A21" s="27" t="s">
        <v>35</v>
      </c>
      <c r="B21" s="5" t="s">
        <v>16</v>
      </c>
      <c r="C21" s="6">
        <v>2</v>
      </c>
      <c r="D21" s="14">
        <v>5195</v>
      </c>
      <c r="E21" s="6">
        <v>650</v>
      </c>
      <c r="F21" s="6">
        <v>5845</v>
      </c>
      <c r="G21" s="6">
        <v>62</v>
      </c>
      <c r="H21" s="5">
        <v>62340</v>
      </c>
      <c r="I21" s="7">
        <v>1005.483870967742</v>
      </c>
      <c r="J21" s="8">
        <v>45449</v>
      </c>
      <c r="K21" s="22">
        <v>45519</v>
      </c>
      <c r="L21" s="22">
        <v>45469</v>
      </c>
      <c r="M21" s="8">
        <v>45449</v>
      </c>
      <c r="N21" s="9">
        <f>IF(ISBLANK(Tabel1[[#This Row],[Indflytning d.]])," ",_xlfn.DAYS(Tabel1[[#This Row],[Indflytning d.]],Tabel1[[#This Row],[Fik den]]))</f>
        <v>70</v>
      </c>
      <c r="O21" s="9">
        <f>IF(ISBLANK(Tabel1[[#This Row],[info sendt.]])," ",_xlfn.DAYS(Tabel1[[#This Row],[info sendt.]],Tabel1[[#This Row],[Fik den]]))</f>
        <v>20</v>
      </c>
    </row>
    <row r="22" spans="1:22">
      <c r="A22" s="94" t="s">
        <v>36</v>
      </c>
      <c r="B22" s="5" t="s">
        <v>16</v>
      </c>
      <c r="C22" s="6">
        <v>2</v>
      </c>
      <c r="D22" s="6">
        <v>5695</v>
      </c>
      <c r="E22" s="6">
        <v>650</v>
      </c>
      <c r="F22" s="6">
        <v>6345</v>
      </c>
      <c r="G22" s="6">
        <v>61</v>
      </c>
      <c r="H22" s="5">
        <v>68340</v>
      </c>
      <c r="I22" s="7">
        <v>1120.327868852459</v>
      </c>
      <c r="J22" s="8">
        <v>45519</v>
      </c>
      <c r="K22" s="22">
        <v>45519</v>
      </c>
      <c r="L22" s="22">
        <v>45505</v>
      </c>
      <c r="M22" s="22">
        <v>45448</v>
      </c>
      <c r="N22" s="9">
        <f>IF(ISBLANK(Tabel1[[#This Row],[Indflytning d.]])," ",_xlfn.DAYS(Tabel1[[#This Row],[Indflytning d.]],Tabel1[[#This Row],[Fik den]]))</f>
        <v>71</v>
      </c>
      <c r="O22" s="9">
        <f>IF(ISBLANK(Tabel1[[#This Row],[info sendt.]])," ",_xlfn.DAYS(Tabel1[[#This Row],[info sendt.]],Tabel1[[#This Row],[Fik den]]))</f>
        <v>57</v>
      </c>
    </row>
    <row r="23" spans="1:22">
      <c r="A23" s="5" t="s">
        <v>37</v>
      </c>
      <c r="B23" s="5" t="s">
        <v>16</v>
      </c>
      <c r="C23" s="6">
        <v>3</v>
      </c>
      <c r="D23" s="6">
        <v>6995</v>
      </c>
      <c r="E23" s="6">
        <v>700</v>
      </c>
      <c r="F23" s="6">
        <v>7695</v>
      </c>
      <c r="G23" s="6">
        <v>84</v>
      </c>
      <c r="H23" s="5">
        <v>83940</v>
      </c>
      <c r="I23" s="7">
        <v>999.28571428571433</v>
      </c>
      <c r="J23" s="17">
        <v>45474</v>
      </c>
      <c r="K23" s="22">
        <v>45519</v>
      </c>
      <c r="L23" s="22">
        <v>45510</v>
      </c>
      <c r="M23" s="24">
        <v>45448</v>
      </c>
      <c r="N23" s="9">
        <f>IF(ISBLANK(Tabel1[[#This Row],[Indflytning d.]])," ",_xlfn.DAYS(Tabel1[[#This Row],[Indflytning d.]],Tabel1[[#This Row],[Fik den]]))</f>
        <v>71</v>
      </c>
      <c r="O23" s="9">
        <f>IF(ISBLANK(Tabel1[[#This Row],[info sendt.]])," ",_xlfn.DAYS(Tabel1[[#This Row],[info sendt.]],Tabel1[[#This Row],[Fik den]]))</f>
        <v>62</v>
      </c>
      <c r="P23" s="59"/>
      <c r="T23" s="60"/>
      <c r="V23" s="61"/>
    </row>
    <row r="24" spans="1:22">
      <c r="A24" s="67" t="s">
        <v>38</v>
      </c>
      <c r="B24" t="s">
        <v>16</v>
      </c>
      <c r="C24">
        <v>3</v>
      </c>
      <c r="D24" s="10">
        <v>7295</v>
      </c>
      <c r="E24" s="10">
        <v>800</v>
      </c>
      <c r="F24" s="10">
        <v>8095</v>
      </c>
      <c r="G24" s="10">
        <v>96</v>
      </c>
      <c r="H24">
        <v>87540</v>
      </c>
      <c r="I24" s="12">
        <v>911.875</v>
      </c>
      <c r="J24" s="18">
        <v>45474</v>
      </c>
      <c r="K24" s="25">
        <v>45519</v>
      </c>
      <c r="L24" s="25">
        <v>45484</v>
      </c>
      <c r="M24" s="24">
        <v>45448</v>
      </c>
      <c r="N24" s="9">
        <f>IF(ISBLANK(Tabel1[[#This Row],[Indflytning d.]])," ",_xlfn.DAYS(Tabel1[[#This Row],[Indflytning d.]],Tabel1[[#This Row],[Fik den]]))</f>
        <v>71</v>
      </c>
      <c r="O24" s="9">
        <f>IF(ISBLANK(Tabel1[[#This Row],[info sendt.]])," ",_xlfn.DAYS(Tabel1[[#This Row],[info sendt.]],Tabel1[[#This Row],[Fik den]]))</f>
        <v>36</v>
      </c>
      <c r="P24" s="58"/>
    </row>
    <row r="25" spans="1:22">
      <c r="A25" s="33" t="s">
        <v>39</v>
      </c>
      <c r="B25" s="5" t="s">
        <v>16</v>
      </c>
      <c r="C25" s="6">
        <v>3</v>
      </c>
      <c r="D25" s="37">
        <v>7500</v>
      </c>
      <c r="E25" s="6">
        <v>900</v>
      </c>
      <c r="F25" s="6">
        <v>8400</v>
      </c>
      <c r="G25" s="6">
        <v>98</v>
      </c>
      <c r="H25" s="5">
        <v>90000</v>
      </c>
      <c r="I25" s="7">
        <v>918.36734693877554</v>
      </c>
      <c r="J25" s="17">
        <v>45691</v>
      </c>
      <c r="K25" s="45">
        <v>45762</v>
      </c>
      <c r="L25" s="22">
        <v>45737</v>
      </c>
      <c r="M25" s="38">
        <v>45691</v>
      </c>
      <c r="N25" s="9">
        <f>IF(ISBLANK(Tabel1[[#This Row],[Indflytning d.]])," ",_xlfn.DAYS(Tabel1[[#This Row],[Indflytning d.]],Tabel1[[#This Row],[Fik den]]))</f>
        <v>71</v>
      </c>
      <c r="O25" s="9">
        <f>IF(ISBLANK(Tabel1[[#This Row],[info sendt.]])," ",_xlfn.DAYS(Tabel1[[#This Row],[info sendt.]],Tabel1[[#This Row],[Fik den]]))</f>
        <v>46</v>
      </c>
      <c r="V25" s="61"/>
    </row>
    <row r="26" spans="1:22">
      <c r="A26" s="66" t="s">
        <v>40</v>
      </c>
      <c r="B26" s="21" t="s">
        <v>41</v>
      </c>
      <c r="C26" s="6">
        <v>3</v>
      </c>
      <c r="D26" s="6">
        <v>6795</v>
      </c>
      <c r="E26" s="6">
        <v>700</v>
      </c>
      <c r="F26" s="6">
        <v>7495</v>
      </c>
      <c r="G26" s="6">
        <v>85</v>
      </c>
      <c r="H26" s="5">
        <v>81540</v>
      </c>
      <c r="I26" s="7">
        <v>959.29411764705878</v>
      </c>
      <c r="J26" s="19">
        <v>45525</v>
      </c>
      <c r="K26" s="20">
        <v>45597</v>
      </c>
      <c r="L26" s="20">
        <v>45583</v>
      </c>
      <c r="M26" s="24">
        <v>45525</v>
      </c>
      <c r="N26" s="9">
        <f>IF(ISBLANK(Tabel1[[#This Row],[Indflytning d.]])," ",_xlfn.DAYS(Tabel1[[#This Row],[Indflytning d.]],Tabel1[[#This Row],[Fik den]]))</f>
        <v>72</v>
      </c>
      <c r="O26" s="9">
        <f>IF(ISBLANK(Tabel1[[#This Row],[info sendt.]])," ",_xlfn.DAYS(Tabel1[[#This Row],[info sendt.]],Tabel1[[#This Row],[Fik den]]))</f>
        <v>58</v>
      </c>
      <c r="V26" s="61"/>
    </row>
    <row r="27" spans="1:22">
      <c r="A27" s="36" t="s">
        <v>42</v>
      </c>
      <c r="B27" s="5" t="s">
        <v>16</v>
      </c>
      <c r="C27" s="6">
        <v>3</v>
      </c>
      <c r="D27" s="10">
        <v>5995</v>
      </c>
      <c r="E27" s="6">
        <v>700</v>
      </c>
      <c r="F27" s="6">
        <v>6695</v>
      </c>
      <c r="G27" s="6">
        <v>66</v>
      </c>
      <c r="H27" s="5">
        <v>71940</v>
      </c>
      <c r="I27" s="7">
        <v>1090</v>
      </c>
      <c r="J27" s="51">
        <v>45796</v>
      </c>
      <c r="K27" s="35">
        <v>45870</v>
      </c>
      <c r="L27" s="20">
        <v>45856</v>
      </c>
      <c r="M27" s="24">
        <v>45796</v>
      </c>
      <c r="N27" s="53">
        <f>IF(ISBLANK(Tabel1[[#This Row],[Indflytning d.]])," ",_xlfn.DAYS(Tabel1[[#This Row],[Indflytning d.]],Tabel1[[#This Row],[Fik den]]))</f>
        <v>74</v>
      </c>
      <c r="O27" s="9">
        <f>IF(ISBLANK(Tabel1[[#This Row],[info sendt.]])," ",_xlfn.DAYS(Tabel1[[#This Row],[info sendt.]],Tabel1[[#This Row],[Fik den]]))</f>
        <v>60</v>
      </c>
      <c r="P27" s="59"/>
      <c r="V27" s="62"/>
    </row>
    <row r="28" spans="1:22">
      <c r="A28" s="68" t="s">
        <v>43</v>
      </c>
      <c r="B28" t="s">
        <v>16</v>
      </c>
      <c r="C28" s="10">
        <v>3</v>
      </c>
      <c r="D28" s="11">
        <v>6600</v>
      </c>
      <c r="E28" s="10">
        <v>800</v>
      </c>
      <c r="F28" s="10">
        <v>7400</v>
      </c>
      <c r="G28">
        <v>85</v>
      </c>
      <c r="H28">
        <v>79200</v>
      </c>
      <c r="I28" s="12">
        <v>931.76470588235293</v>
      </c>
      <c r="J28" s="18">
        <v>45505</v>
      </c>
      <c r="K28" s="25">
        <v>45536</v>
      </c>
      <c r="L28" s="25">
        <v>45532</v>
      </c>
      <c r="M28" s="24">
        <v>45458</v>
      </c>
      <c r="N28" s="9">
        <f>IF(ISBLANK(Tabel1[[#This Row],[Indflytning d.]])," ",_xlfn.DAYS(Tabel1[[#This Row],[Indflytning d.]],Tabel1[[#This Row],[Fik den]]))</f>
        <v>78</v>
      </c>
      <c r="O28" s="9">
        <f>IF(ISBLANK(Tabel1[[#This Row],[info sendt.]])," ",_xlfn.DAYS(Tabel1[[#This Row],[info sendt.]],Tabel1[[#This Row],[Fik den]]))</f>
        <v>74</v>
      </c>
      <c r="V28" s="61"/>
    </row>
    <row r="29" spans="1:22">
      <c r="A29" s="5" t="s">
        <v>44</v>
      </c>
      <c r="B29" s="5" t="s">
        <v>16</v>
      </c>
      <c r="C29" s="6">
        <v>3</v>
      </c>
      <c r="D29" s="6">
        <v>6495</v>
      </c>
      <c r="E29" s="6">
        <v>800</v>
      </c>
      <c r="F29" s="6">
        <v>7295</v>
      </c>
      <c r="G29" s="6">
        <v>85</v>
      </c>
      <c r="H29" s="5">
        <v>77940</v>
      </c>
      <c r="I29" s="7">
        <v>916.94117647058829</v>
      </c>
      <c r="J29" s="17">
        <v>45474</v>
      </c>
      <c r="K29" s="22">
        <v>45536</v>
      </c>
      <c r="L29" s="22">
        <v>45512</v>
      </c>
      <c r="M29" s="24">
        <v>45448</v>
      </c>
      <c r="N29" s="9">
        <f>IF(ISBLANK(Tabel1[[#This Row],[Indflytning d.]])," ",_xlfn.DAYS(Tabel1[[#This Row],[Indflytning d.]],Tabel1[[#This Row],[Fik den]]))</f>
        <v>88</v>
      </c>
      <c r="O29" s="9">
        <f>IF(ISBLANK(Tabel1[[#This Row],[info sendt.]])," ",_xlfn.DAYS(Tabel1[[#This Row],[info sendt.]],Tabel1[[#This Row],[Fik den]]))</f>
        <v>64</v>
      </c>
      <c r="V29" s="61"/>
    </row>
    <row r="30" spans="1:22">
      <c r="A30" s="64" t="s">
        <v>45</v>
      </c>
      <c r="B30" s="5" t="s">
        <v>16</v>
      </c>
      <c r="C30" s="5">
        <v>4</v>
      </c>
      <c r="D30" s="14">
        <v>8000</v>
      </c>
      <c r="E30" s="6">
        <v>1000</v>
      </c>
      <c r="F30" s="6">
        <v>9000</v>
      </c>
      <c r="G30" s="6">
        <v>115</v>
      </c>
      <c r="H30" s="5">
        <v>96000</v>
      </c>
      <c r="I30" s="7">
        <v>834.78260869565213</v>
      </c>
      <c r="J30" s="8">
        <v>45474</v>
      </c>
      <c r="K30" s="22">
        <v>45536</v>
      </c>
      <c r="L30" s="22">
        <v>45482</v>
      </c>
      <c r="M30" s="24">
        <v>45448</v>
      </c>
      <c r="N30" s="9">
        <f>IF(ISBLANK(Tabel1[[#This Row],[Indflytning d.]])," ",_xlfn.DAYS(Tabel1[[#This Row],[Indflytning d.]],Tabel1[[#This Row],[Fik den]]))</f>
        <v>88</v>
      </c>
      <c r="O30" s="9">
        <f>IF(ISBLANK(Tabel1[[#This Row],[info sendt.]])," ",_xlfn.DAYS(Tabel1[[#This Row],[info sendt.]],Tabel1[[#This Row],[Fik den]]))</f>
        <v>34</v>
      </c>
      <c r="P30" s="59"/>
      <c r="V30" s="61"/>
    </row>
    <row r="31" spans="1:22">
      <c r="A31" s="40" t="s">
        <v>46</v>
      </c>
      <c r="B31" s="5" t="s">
        <v>16</v>
      </c>
      <c r="C31" s="6">
        <v>2</v>
      </c>
      <c r="D31" s="10">
        <v>5195</v>
      </c>
      <c r="E31" s="6">
        <v>700</v>
      </c>
      <c r="F31" s="6">
        <v>5895</v>
      </c>
      <c r="G31" s="6">
        <v>59</v>
      </c>
      <c r="H31" s="5">
        <v>62340</v>
      </c>
      <c r="I31" s="7">
        <v>1056.6101694915253</v>
      </c>
      <c r="J31" s="51">
        <v>45796</v>
      </c>
      <c r="K31" s="35">
        <v>45884</v>
      </c>
      <c r="L31" s="20">
        <v>45860</v>
      </c>
      <c r="M31" s="24">
        <v>45796</v>
      </c>
      <c r="N31" s="53">
        <f>IF(ISBLANK(Tabel1[[#This Row],[Indflytning d.]])," ",_xlfn.DAYS(Tabel1[[#This Row],[Indflytning d.]],Tabel1[[#This Row],[Fik den]]))</f>
        <v>88</v>
      </c>
      <c r="O31" s="9">
        <f>IF(ISBLANK(Tabel1[[#This Row],[info sendt.]])," ",_xlfn.DAYS(Tabel1[[#This Row],[info sendt.]],Tabel1[[#This Row],[Fik den]]))</f>
        <v>64</v>
      </c>
      <c r="P31" s="59"/>
      <c r="V31" s="61"/>
    </row>
    <row r="32" spans="1:22">
      <c r="A32" t="s">
        <v>47</v>
      </c>
      <c r="B32" t="s">
        <v>16</v>
      </c>
      <c r="C32" s="10">
        <v>3</v>
      </c>
      <c r="D32" s="11">
        <v>8100</v>
      </c>
      <c r="E32" s="10">
        <v>900</v>
      </c>
      <c r="F32" s="10">
        <v>9000</v>
      </c>
      <c r="G32" s="10">
        <v>99</v>
      </c>
      <c r="H32">
        <v>97200</v>
      </c>
      <c r="I32" s="12">
        <v>981.81818181818187</v>
      </c>
      <c r="J32" s="13">
        <v>45474</v>
      </c>
      <c r="K32" s="25">
        <v>45536</v>
      </c>
      <c r="L32" s="25">
        <v>45530</v>
      </c>
      <c r="M32" s="24">
        <v>45444</v>
      </c>
      <c r="N32" s="9">
        <f>IF(ISBLANK(Tabel1[[#This Row],[Indflytning d.]])," ",_xlfn.DAYS(Tabel1[[#This Row],[Indflytning d.]],Tabel1[[#This Row],[Fik den]]))</f>
        <v>92</v>
      </c>
      <c r="O32" s="9">
        <f>IF(ISBLANK(Tabel1[[#This Row],[info sendt.]])," ",_xlfn.DAYS(Tabel1[[#This Row],[info sendt.]],Tabel1[[#This Row],[Fik den]]))</f>
        <v>86</v>
      </c>
      <c r="P32" s="58"/>
      <c r="V32" s="61"/>
    </row>
    <row r="33" spans="1:22">
      <c r="A33" s="6" t="s">
        <v>48</v>
      </c>
      <c r="B33" s="5" t="s">
        <v>16</v>
      </c>
      <c r="C33" s="6">
        <v>3</v>
      </c>
      <c r="D33" s="6">
        <v>7295</v>
      </c>
      <c r="E33" s="6">
        <v>800</v>
      </c>
      <c r="F33" s="6">
        <v>8095</v>
      </c>
      <c r="G33" s="6">
        <v>88</v>
      </c>
      <c r="H33" s="5">
        <v>87540</v>
      </c>
      <c r="I33" s="7">
        <v>994.77272727272725</v>
      </c>
      <c r="J33" s="8">
        <v>45488</v>
      </c>
      <c r="K33" s="22">
        <v>45505</v>
      </c>
      <c r="L33" s="22">
        <v>45446</v>
      </c>
      <c r="M33" s="24">
        <v>45412</v>
      </c>
      <c r="N33" s="9">
        <f>IF(ISBLANK(Tabel1[[#This Row],[Indflytning d.]])," ",_xlfn.DAYS(Tabel1[[#This Row],[Indflytning d.]],Tabel1[[#This Row],[Fik den]]))</f>
        <v>93</v>
      </c>
      <c r="O33" s="9">
        <f>IF(ISBLANK(Tabel1[[#This Row],[info sendt.]])," ",_xlfn.DAYS(Tabel1[[#This Row],[info sendt.]],Tabel1[[#This Row],[Fik den]]))</f>
        <v>34</v>
      </c>
      <c r="P33" s="58"/>
    </row>
    <row r="34" spans="1:22">
      <c r="A34" s="34" t="s">
        <v>49</v>
      </c>
      <c r="B34" s="5" t="s">
        <v>16</v>
      </c>
      <c r="C34" s="6">
        <v>4</v>
      </c>
      <c r="D34" s="11">
        <v>7495</v>
      </c>
      <c r="E34" s="6">
        <v>900</v>
      </c>
      <c r="F34" s="6">
        <v>8395</v>
      </c>
      <c r="G34" s="6">
        <v>109</v>
      </c>
      <c r="H34" s="5">
        <v>89940</v>
      </c>
      <c r="I34" s="7">
        <v>825.13761467889913</v>
      </c>
      <c r="J34" s="17">
        <v>45716</v>
      </c>
      <c r="K34" s="25">
        <v>45809</v>
      </c>
      <c r="L34" s="22">
        <v>45762</v>
      </c>
      <c r="M34" s="24">
        <v>45716</v>
      </c>
      <c r="N34" s="9">
        <f>IF(ISBLANK(Tabel1[[#This Row],[Indflytning d.]])," ",_xlfn.DAYS(Tabel1[[#This Row],[Indflytning d.]],Tabel1[[#This Row],[Fik den]]))</f>
        <v>93</v>
      </c>
      <c r="O34" s="9">
        <f>IF(ISBLANK(Tabel1[[#This Row],[info sendt.]])," ",_xlfn.DAYS(Tabel1[[#This Row],[info sendt.]],Tabel1[[#This Row],[Fik den]]))</f>
        <v>46</v>
      </c>
      <c r="S34" s="61"/>
      <c r="V34" s="61"/>
    </row>
    <row r="35" spans="1:22">
      <c r="A35" s="46" t="s">
        <v>50</v>
      </c>
      <c r="B35" s="47" t="s">
        <v>16</v>
      </c>
      <c r="C35" s="6">
        <v>3</v>
      </c>
      <c r="D35" s="10">
        <v>5695</v>
      </c>
      <c r="E35" s="6">
        <v>700</v>
      </c>
      <c r="F35" s="6">
        <v>6395</v>
      </c>
      <c r="G35" s="6">
        <v>75</v>
      </c>
      <c r="H35" s="5">
        <v>68340</v>
      </c>
      <c r="I35" s="7">
        <v>911.2</v>
      </c>
      <c r="J35" s="17">
        <v>45776</v>
      </c>
      <c r="K35" s="15">
        <v>45870</v>
      </c>
      <c r="L35" s="22">
        <v>45841</v>
      </c>
      <c r="M35" s="24">
        <v>45776</v>
      </c>
      <c r="N35" s="53">
        <f>IF(ISBLANK(Tabel1[[#This Row],[Indflytning d.]])," ",_xlfn.DAYS(Tabel1[[#This Row],[Indflytning d.]],Tabel1[[#This Row],[Fik den]]))</f>
        <v>94</v>
      </c>
      <c r="O35" s="9">
        <f>IF(ISBLANK(Tabel1[[#This Row],[info sendt.]])," ",_xlfn.DAYS(Tabel1[[#This Row],[info sendt.]],Tabel1[[#This Row],[Fik den]]))</f>
        <v>65</v>
      </c>
      <c r="V35" s="61"/>
    </row>
    <row r="36" spans="1:22">
      <c r="A36" s="33" t="s">
        <v>51</v>
      </c>
      <c r="B36" s="5" t="s">
        <v>16</v>
      </c>
      <c r="C36" s="6">
        <v>2</v>
      </c>
      <c r="D36" s="10">
        <v>4995</v>
      </c>
      <c r="E36" s="6">
        <v>650</v>
      </c>
      <c r="F36" s="6">
        <v>5645</v>
      </c>
      <c r="G36" s="6">
        <v>51</v>
      </c>
      <c r="H36" s="50">
        <v>59940</v>
      </c>
      <c r="I36" s="7">
        <v>1175.2941176470588</v>
      </c>
      <c r="J36" s="17">
        <v>45741</v>
      </c>
      <c r="K36" s="25">
        <v>45839</v>
      </c>
      <c r="L36" s="22">
        <v>45803</v>
      </c>
      <c r="M36" s="24">
        <v>45741</v>
      </c>
      <c r="N36" s="9">
        <f>IF(ISBLANK(Tabel1[[#This Row],[Indflytning d.]])," ",_xlfn.DAYS(Tabel1[[#This Row],[Indflytning d.]],Tabel1[[#This Row],[Fik den]]))</f>
        <v>98</v>
      </c>
      <c r="O36" s="9">
        <f>IF(ISBLANK(Tabel1[[#This Row],[info sendt.]])," ",_xlfn.DAYS(Tabel1[[#This Row],[info sendt.]],Tabel1[[#This Row],[Fik den]]))</f>
        <v>62</v>
      </c>
      <c r="P36" s="58"/>
    </row>
    <row r="37" spans="1:22" ht="15" customHeight="1">
      <c r="A37" s="34" t="s">
        <v>52</v>
      </c>
      <c r="B37" s="48" t="s">
        <v>16</v>
      </c>
      <c r="C37" s="6">
        <v>3</v>
      </c>
      <c r="D37">
        <v>7995</v>
      </c>
      <c r="E37" s="6">
        <v>1000</v>
      </c>
      <c r="F37" s="6">
        <v>8995</v>
      </c>
      <c r="G37" s="6">
        <v>95</v>
      </c>
      <c r="H37" s="5">
        <v>95940</v>
      </c>
      <c r="I37" s="7">
        <v>1009.8947368421053</v>
      </c>
      <c r="J37" s="17">
        <v>45659</v>
      </c>
      <c r="K37" s="41">
        <v>45762</v>
      </c>
      <c r="L37" s="101">
        <v>45741</v>
      </c>
      <c r="M37" s="24">
        <v>45659</v>
      </c>
      <c r="N37" s="9">
        <f>IF(ISBLANK(Tabel1[[#This Row],[Indflytning d.]])," ",_xlfn.DAYS(Tabel1[[#This Row],[Indflytning d.]],Tabel1[[#This Row],[Fik den]]))</f>
        <v>103</v>
      </c>
      <c r="O37" s="9">
        <f>IF(ISBLANK(Tabel1[[#This Row],[info sendt.]])," ",_xlfn.DAYS(Tabel1[[#This Row],[info sendt.]],Tabel1[[#This Row],[Fik den]]))</f>
        <v>82</v>
      </c>
      <c r="P37" s="59"/>
      <c r="V37" s="62"/>
    </row>
    <row r="38" spans="1:22" ht="15" customHeight="1">
      <c r="A38" s="68" t="s">
        <v>53</v>
      </c>
      <c r="B38" t="s">
        <v>16</v>
      </c>
      <c r="C38" s="10">
        <v>3</v>
      </c>
      <c r="D38" s="23">
        <v>7000</v>
      </c>
      <c r="E38" s="10">
        <v>1200</v>
      </c>
      <c r="F38" s="10">
        <v>8200</v>
      </c>
      <c r="G38" s="10">
        <v>101</v>
      </c>
      <c r="H38">
        <v>84000</v>
      </c>
      <c r="I38" s="12">
        <v>831.68316831683171</v>
      </c>
      <c r="J38" s="13">
        <v>45474</v>
      </c>
      <c r="K38" s="25">
        <v>45566</v>
      </c>
      <c r="L38" s="25">
        <v>45548</v>
      </c>
      <c r="M38" s="24">
        <v>45448</v>
      </c>
      <c r="N38" s="9">
        <f>IF(ISBLANK(Tabel1[[#This Row],[Indflytning d.]])," ",_xlfn.DAYS(Tabel1[[#This Row],[Indflytning d.]],Tabel1[[#This Row],[Fik den]]))</f>
        <v>118</v>
      </c>
      <c r="O38" s="9">
        <f>IF(ISBLANK(Tabel1[[#This Row],[info sendt.]])," ",_xlfn.DAYS(Tabel1[[#This Row],[info sendt.]],Tabel1[[#This Row],[Fik den]]))</f>
        <v>100</v>
      </c>
      <c r="S38" s="61"/>
      <c r="V38" s="61"/>
    </row>
    <row r="39" spans="1:22">
      <c r="A39" s="44" t="s">
        <v>54</v>
      </c>
      <c r="B39" s="5" t="s">
        <v>16</v>
      </c>
      <c r="C39" s="6">
        <v>2</v>
      </c>
      <c r="D39" s="11">
        <v>5195</v>
      </c>
      <c r="E39" s="6">
        <v>700</v>
      </c>
      <c r="F39" s="6">
        <v>5895</v>
      </c>
      <c r="G39" s="6">
        <v>63</v>
      </c>
      <c r="H39" s="5">
        <v>62340</v>
      </c>
      <c r="I39" s="7">
        <v>989.52380952380952</v>
      </c>
      <c r="J39" s="17">
        <v>45627</v>
      </c>
      <c r="K39" s="41">
        <v>45748</v>
      </c>
      <c r="L39" s="22">
        <v>45722</v>
      </c>
      <c r="M39" s="24">
        <v>45610</v>
      </c>
      <c r="N39" s="9">
        <f>IF(ISBLANK(Tabel1[[#This Row],[Indflytning d.]])," ",_xlfn.DAYS(Tabel1[[#This Row],[Indflytning d.]],Tabel1[[#This Row],[Fik den]]))</f>
        <v>138</v>
      </c>
      <c r="O39" s="9">
        <f>IF(ISBLANK(Tabel1[[#This Row],[info sendt.]])," ",_xlfn.DAYS(Tabel1[[#This Row],[info sendt.]],Tabel1[[#This Row],[Fik den]]))</f>
        <v>112</v>
      </c>
      <c r="P39" s="59"/>
      <c r="V39" s="61"/>
    </row>
    <row r="40" spans="1:22">
      <c r="A40" s="10" t="s">
        <v>55</v>
      </c>
      <c r="B40" s="49" t="s">
        <v>16</v>
      </c>
      <c r="C40" s="6">
        <v>2</v>
      </c>
      <c r="D40" s="10">
        <v>6395</v>
      </c>
      <c r="E40" s="6">
        <v>900</v>
      </c>
      <c r="F40" s="6">
        <v>7295</v>
      </c>
      <c r="G40" s="6">
        <v>102</v>
      </c>
      <c r="H40" s="5">
        <v>76740</v>
      </c>
      <c r="I40" s="7">
        <v>752.35294117647061</v>
      </c>
      <c r="J40" s="17">
        <v>45525</v>
      </c>
      <c r="K40" s="15">
        <v>45672</v>
      </c>
      <c r="L40" s="20">
        <v>45588</v>
      </c>
      <c r="M40" s="24">
        <v>45525</v>
      </c>
      <c r="N40" s="53">
        <f>IF(ISBLANK(Tabel1[[#This Row],[Indflytning d.]])," ",_xlfn.DAYS(Tabel1[[#This Row],[Indflytning d.]],Tabel1[[#This Row],[Fik den]]))</f>
        <v>147</v>
      </c>
      <c r="O40" s="9">
        <f>IF(ISBLANK(Tabel1[[#This Row],[info sendt.]])," ",_xlfn.DAYS(Tabel1[[#This Row],[info sendt.]],Tabel1[[#This Row],[Fik den]]))</f>
        <v>63</v>
      </c>
      <c r="V40" s="61"/>
    </row>
    <row r="41" spans="1:22">
      <c r="A41" s="33" t="s">
        <v>56</v>
      </c>
      <c r="B41" s="5" t="s">
        <v>16</v>
      </c>
      <c r="C41" s="6">
        <v>3</v>
      </c>
      <c r="D41" s="37">
        <v>6895</v>
      </c>
      <c r="E41" s="6">
        <v>700</v>
      </c>
      <c r="F41" s="6">
        <v>7595</v>
      </c>
      <c r="G41" s="6">
        <v>78</v>
      </c>
      <c r="H41" s="5">
        <v>82740</v>
      </c>
      <c r="I41" s="7">
        <v>1060.7692307692307</v>
      </c>
      <c r="J41" s="17">
        <v>45691</v>
      </c>
      <c r="K41" s="42">
        <v>45839</v>
      </c>
      <c r="L41" s="22">
        <v>45764</v>
      </c>
      <c r="M41" s="38">
        <v>45691</v>
      </c>
      <c r="N41" s="9">
        <f>IF(ISBLANK(Tabel1[[#This Row],[Indflytning d.]])," ",_xlfn.DAYS(Tabel1[[#This Row],[Indflytning d.]],Tabel1[[#This Row],[Fik den]]))</f>
        <v>148</v>
      </c>
      <c r="O41" s="9">
        <f>IF(ISBLANK(Tabel1[[#This Row],[info sendt.]])," ",_xlfn.DAYS(Tabel1[[#This Row],[info sendt.]],Tabel1[[#This Row],[Fik den]]))</f>
        <v>73</v>
      </c>
      <c r="P41" s="58"/>
    </row>
    <row r="42" spans="1:22">
      <c r="A42" t="s">
        <v>57</v>
      </c>
      <c r="B42" s="52" t="s">
        <v>16</v>
      </c>
      <c r="C42" s="6">
        <v>3</v>
      </c>
      <c r="D42" s="10">
        <v>6495</v>
      </c>
      <c r="E42" s="6">
        <v>800</v>
      </c>
      <c r="F42" s="6">
        <v>7295</v>
      </c>
      <c r="G42" s="6">
        <v>91</v>
      </c>
      <c r="H42" s="5">
        <v>77940</v>
      </c>
      <c r="I42" s="7">
        <v>856.4835164835165</v>
      </c>
      <c r="J42" s="17">
        <v>45597</v>
      </c>
      <c r="K42" s="39">
        <v>45689</v>
      </c>
      <c r="L42" s="54">
        <v>45667</v>
      </c>
      <c r="M42" s="24">
        <v>45525</v>
      </c>
      <c r="N42" s="53">
        <f>IF(ISBLANK(Tabel1[[#This Row],[Indflytning d.]])," ",_xlfn.DAYS(Tabel1[[#This Row],[Indflytning d.]],Tabel1[[#This Row],[Fik den]]))</f>
        <v>164</v>
      </c>
      <c r="O42" s="9">
        <f>IF(ISBLANK(Tabel1[[#This Row],[info sendt.]])," ",_xlfn.DAYS(Tabel1[[#This Row],[info sendt.]],Tabel1[[#This Row],[Fik den]]))</f>
        <v>142</v>
      </c>
      <c r="P42" s="58"/>
      <c r="S42" s="63"/>
      <c r="T42" s="63"/>
      <c r="V42" s="61"/>
    </row>
    <row r="43" spans="1:22" ht="15.75">
      <c r="A43" s="33" t="s">
        <v>58</v>
      </c>
      <c r="B43" s="5" t="s">
        <v>16</v>
      </c>
      <c r="C43" s="6">
        <v>2</v>
      </c>
      <c r="D43" s="37">
        <v>4995</v>
      </c>
      <c r="E43" s="6">
        <v>500</v>
      </c>
      <c r="F43" s="6">
        <v>5495</v>
      </c>
      <c r="G43" s="6">
        <v>73</v>
      </c>
      <c r="H43" s="5">
        <v>59940</v>
      </c>
      <c r="I43" s="7">
        <v>821.09589041095887</v>
      </c>
      <c r="J43" s="17"/>
      <c r="K43" s="42">
        <v>45884</v>
      </c>
      <c r="L43" s="55">
        <v>45868</v>
      </c>
      <c r="M43" s="38">
        <v>45691</v>
      </c>
      <c r="N43" s="9">
        <f>IF(ISBLANK(Tabel1[[#This Row],[Indflytning d.]])," ",_xlfn.DAYS(Tabel1[[#This Row],[Indflytning d.]],Tabel1[[#This Row],[Fik den]]))</f>
        <v>193</v>
      </c>
      <c r="O43" s="9">
        <f>IF(ISBLANK(Tabel1[[#This Row],[info sendt.]])," ",_xlfn.DAYS(Tabel1[[#This Row],[info sendt.]],Tabel1[[#This Row],[Fik den]]))</f>
        <v>177</v>
      </c>
      <c r="V43" s="61"/>
    </row>
    <row r="44" spans="1:22">
      <c r="A44" s="96" t="s">
        <v>59</v>
      </c>
      <c r="B44" s="5" t="s">
        <v>16</v>
      </c>
      <c r="C44" s="6">
        <v>4</v>
      </c>
      <c r="D44" s="11">
        <v>7495</v>
      </c>
      <c r="E44" s="6">
        <v>1000</v>
      </c>
      <c r="F44" s="6">
        <v>8495</v>
      </c>
      <c r="G44" s="6">
        <v>111</v>
      </c>
      <c r="H44" s="5">
        <v>89940</v>
      </c>
      <c r="I44" s="7">
        <v>810.27027027027032</v>
      </c>
      <c r="J44" s="17">
        <v>45677</v>
      </c>
      <c r="K44" s="41">
        <v>45748</v>
      </c>
      <c r="L44" s="55">
        <v>45679</v>
      </c>
      <c r="M44" s="24">
        <v>45547</v>
      </c>
      <c r="N44" s="9">
        <f>IF(ISBLANK(Tabel1[[#This Row],[Indflytning d.]])," ",_xlfn.DAYS(Tabel1[[#This Row],[Indflytning d.]],Tabel1[[#This Row],[Fik den]]))</f>
        <v>201</v>
      </c>
      <c r="O44" s="9">
        <f>IF(ISBLANK(Tabel1[[#This Row],[info sendt.]])," ",_xlfn.DAYS(Tabel1[[#This Row],[info sendt.]],Tabel1[[#This Row],[Fik den]]))</f>
        <v>132</v>
      </c>
      <c r="V44" s="61"/>
    </row>
    <row r="45" spans="1:22">
      <c r="A45" s="34" t="s">
        <v>60</v>
      </c>
      <c r="B45" s="5" t="s">
        <v>16</v>
      </c>
      <c r="C45" s="6">
        <v>4</v>
      </c>
      <c r="D45">
        <v>6595</v>
      </c>
      <c r="E45" s="6">
        <v>850</v>
      </c>
      <c r="F45" s="6">
        <v>7445</v>
      </c>
      <c r="G45" s="6">
        <v>100</v>
      </c>
      <c r="H45" s="5">
        <v>79140</v>
      </c>
      <c r="I45" s="7">
        <v>791.4</v>
      </c>
      <c r="J45" s="17">
        <v>45659</v>
      </c>
      <c r="K45" s="56">
        <v>45901</v>
      </c>
      <c r="L45" s="55">
        <v>45840</v>
      </c>
      <c r="M45" s="24">
        <v>45659</v>
      </c>
      <c r="N45" s="9">
        <f>IF(ISBLANK(Tabel1[[#This Row],[Indflytning d.]])," ",_xlfn.DAYS(Tabel1[[#This Row],[Indflytning d.]],Tabel1[[#This Row],[Fik den]]))</f>
        <v>242</v>
      </c>
      <c r="O45" s="9">
        <f>IF(ISBLANK(Tabel1[[#This Row],[info sendt.]])," ",_xlfn.DAYS(Tabel1[[#This Row],[info sendt.]],Tabel1[[#This Row],[Fik den]]))</f>
        <v>181</v>
      </c>
      <c r="S45" s="61"/>
      <c r="V45" s="61"/>
    </row>
    <row r="46" spans="1:22">
      <c r="A46" s="5" t="s">
        <v>61</v>
      </c>
      <c r="B46" s="5" t="s">
        <v>16</v>
      </c>
      <c r="C46" s="6">
        <v>4</v>
      </c>
      <c r="D46" s="10">
        <v>6595</v>
      </c>
      <c r="E46" s="6">
        <v>700</v>
      </c>
      <c r="F46" s="6">
        <v>7295</v>
      </c>
      <c r="G46" s="6">
        <v>100</v>
      </c>
      <c r="H46" s="5">
        <v>79140</v>
      </c>
      <c r="I46" s="7">
        <v>791.4</v>
      </c>
      <c r="J46" s="17">
        <v>45474</v>
      </c>
      <c r="K46" s="25">
        <v>45767</v>
      </c>
      <c r="L46" s="55">
        <v>45758</v>
      </c>
      <c r="M46" s="24">
        <v>45525</v>
      </c>
      <c r="N46" s="9">
        <f>IF(ISBLANK(Tabel1[[#This Row],[Indflytning d.]])," ",_xlfn.DAYS(Tabel1[[#This Row],[Indflytning d.]],Tabel1[[#This Row],[Fik den]]))</f>
        <v>242</v>
      </c>
      <c r="O46" s="9">
        <f>IF(ISBLANK(Tabel1[[#This Row],[info sendt.]])," ",_xlfn.DAYS(Tabel1[[#This Row],[info sendt.]],Tabel1[[#This Row],[Fik den]]))</f>
        <v>233</v>
      </c>
      <c r="V46" s="61"/>
    </row>
    <row r="47" spans="1:22">
      <c r="A47" s="33" t="s">
        <v>62</v>
      </c>
      <c r="B47" s="5" t="s">
        <v>16</v>
      </c>
      <c r="C47" s="6">
        <v>5</v>
      </c>
      <c r="D47" s="10">
        <v>11395</v>
      </c>
      <c r="E47" s="6">
        <v>1000</v>
      </c>
      <c r="F47" s="6">
        <v>12395</v>
      </c>
      <c r="G47" s="6">
        <v>134</v>
      </c>
      <c r="H47" s="5">
        <v>136740</v>
      </c>
      <c r="I47" s="7">
        <v>1020.4477611940298</v>
      </c>
      <c r="J47" s="17"/>
      <c r="K47" s="25">
        <v>45809</v>
      </c>
      <c r="L47" s="55">
        <v>45788</v>
      </c>
      <c r="M47" s="24">
        <v>45555</v>
      </c>
      <c r="N47" s="9">
        <f>IF(ISBLANK(Tabel1[[#This Row],[Indflytning d.]])," ",_xlfn.DAYS(Tabel1[[#This Row],[Indflytning d.]],Tabel1[[#This Row],[Fik den]]))</f>
        <v>254</v>
      </c>
      <c r="O47" s="9">
        <f>IF(ISBLANK(Tabel1[[#This Row],[info sendt.]])," ",_xlfn.DAYS(Tabel1[[#This Row],[info sendt.]],Tabel1[[#This Row],[Fik den]]))</f>
        <v>233</v>
      </c>
      <c r="V47" s="61"/>
    </row>
    <row r="48" spans="1:22">
      <c r="A48" t="s">
        <v>63</v>
      </c>
      <c r="B48" s="5" t="s">
        <v>16</v>
      </c>
      <c r="C48" s="6">
        <v>3</v>
      </c>
      <c r="D48" s="11">
        <v>6495</v>
      </c>
      <c r="E48" s="6">
        <v>800</v>
      </c>
      <c r="F48" s="6">
        <v>7295</v>
      </c>
      <c r="G48" s="6">
        <v>98</v>
      </c>
      <c r="H48" s="5">
        <v>77940</v>
      </c>
      <c r="I48" s="7">
        <v>795.30612244897964</v>
      </c>
      <c r="J48" s="17">
        <v>45474</v>
      </c>
      <c r="K48" s="43">
        <v>45748</v>
      </c>
      <c r="L48" s="55">
        <v>45701</v>
      </c>
      <c r="M48" s="24">
        <v>45457</v>
      </c>
      <c r="N48" s="9">
        <f>IF(ISBLANK(Tabel1[[#This Row],[Indflytning d.]])," ",_xlfn.DAYS(Tabel1[[#This Row],[Indflytning d.]],Tabel1[[#This Row],[Fik den]]))</f>
        <v>291</v>
      </c>
      <c r="O48" s="9">
        <f>IF(ISBLANK(Tabel1[[#This Row],[info sendt.]])," ",_xlfn.DAYS(Tabel1[[#This Row],[info sendt.]],Tabel1[[#This Row],[Fik den]]))</f>
        <v>244</v>
      </c>
      <c r="V48" s="61"/>
    </row>
    <row r="49" spans="1:22">
      <c r="A49" s="34" t="s">
        <v>64</v>
      </c>
      <c r="B49" s="5" t="s">
        <v>16</v>
      </c>
      <c r="C49" s="6">
        <v>3</v>
      </c>
      <c r="D49" s="11">
        <v>6995</v>
      </c>
      <c r="E49" s="6">
        <v>1000</v>
      </c>
      <c r="F49" s="6">
        <v>7995</v>
      </c>
      <c r="G49" s="6">
        <v>109</v>
      </c>
      <c r="H49" s="5">
        <v>83940</v>
      </c>
      <c r="I49" s="7">
        <v>770.09174311926608</v>
      </c>
      <c r="J49" s="17">
        <v>45474</v>
      </c>
      <c r="K49" s="41">
        <v>45778</v>
      </c>
      <c r="L49" s="55">
        <v>45730</v>
      </c>
      <c r="M49" s="24">
        <v>45457</v>
      </c>
      <c r="N49" s="9">
        <f>IF(ISBLANK(Tabel1[[#This Row],[Indflytning d.]])," ",_xlfn.DAYS(Tabel1[[#This Row],[Indflytning d.]],Tabel1[[#This Row],[Fik den]]))</f>
        <v>321</v>
      </c>
      <c r="O49" s="9">
        <f>IF(ISBLANK(Tabel1[[#This Row],[info sendt.]])," ",_xlfn.DAYS(Tabel1[[#This Row],[info sendt.]],Tabel1[[#This Row],[Fik den]]))</f>
        <v>273</v>
      </c>
      <c r="V49" s="61"/>
    </row>
    <row r="50" spans="1:22">
      <c r="A50" t="s">
        <v>65</v>
      </c>
      <c r="B50" s="5" t="s">
        <v>16</v>
      </c>
      <c r="C50" s="6">
        <v>4</v>
      </c>
      <c r="D50">
        <v>6795</v>
      </c>
      <c r="E50" s="6">
        <v>700</v>
      </c>
      <c r="F50" s="6">
        <v>7495</v>
      </c>
      <c r="G50" s="6">
        <v>100</v>
      </c>
      <c r="H50" s="5">
        <v>81540</v>
      </c>
      <c r="I50" s="7">
        <v>815.4</v>
      </c>
      <c r="J50" s="17">
        <v>45882</v>
      </c>
      <c r="K50" s="22"/>
      <c r="L50" s="99">
        <v>45902</v>
      </c>
      <c r="M50" s="24">
        <v>45882</v>
      </c>
      <c r="N50" s="9">
        <v>80</v>
      </c>
      <c r="O50" s="9">
        <f>IF(ISBLANK(Tabel1[[#This Row],[info sendt.]])," ",_xlfn.DAYS(Tabel1[[#This Row],[info sendt.]],Tabel1[[#This Row],[Fik den]]))</f>
        <v>20</v>
      </c>
      <c r="V50" s="61"/>
    </row>
    <row r="51" spans="1:22">
      <c r="A51" s="33" t="s">
        <v>66</v>
      </c>
      <c r="B51" s="5" t="s">
        <v>16</v>
      </c>
      <c r="C51" s="6">
        <v>2</v>
      </c>
      <c r="D51" s="10">
        <v>6595</v>
      </c>
      <c r="E51" s="6">
        <v>800</v>
      </c>
      <c r="F51" s="6">
        <v>7395</v>
      </c>
      <c r="G51" s="6">
        <v>96</v>
      </c>
      <c r="H51" s="5">
        <v>79140</v>
      </c>
      <c r="I51" s="7">
        <v>824.375</v>
      </c>
      <c r="J51" s="17">
        <v>45741</v>
      </c>
      <c r="K51" s="22"/>
      <c r="L51" s="99">
        <v>45909</v>
      </c>
      <c r="M51" s="25">
        <v>45741</v>
      </c>
      <c r="N51" s="9">
        <v>251</v>
      </c>
      <c r="O51" s="9">
        <f>IF(ISBLANK(Tabel1[[#This Row],[info sendt.]])," ",_xlfn.DAYS(Tabel1[[#This Row],[info sendt.]],Tabel1[[#This Row],[Fik den]]))</f>
        <v>168</v>
      </c>
      <c r="S51" s="63"/>
      <c r="T51" s="63"/>
      <c r="V51" s="61"/>
    </row>
    <row r="52" spans="1:22">
      <c r="A52" s="85" t="s">
        <v>67</v>
      </c>
      <c r="B52" s="5" t="s">
        <v>16</v>
      </c>
      <c r="C52" s="6">
        <v>4</v>
      </c>
      <c r="D52">
        <v>8795</v>
      </c>
      <c r="E52" s="6">
        <v>1000</v>
      </c>
      <c r="F52" s="6">
        <v>9795</v>
      </c>
      <c r="G52" s="6">
        <v>113</v>
      </c>
      <c r="H52" s="5">
        <v>105540</v>
      </c>
      <c r="I52" s="7">
        <v>933.98230088495575</v>
      </c>
      <c r="J52" s="17">
        <v>45842</v>
      </c>
      <c r="K52" s="22"/>
      <c r="L52" s="99">
        <v>45908</v>
      </c>
      <c r="M52" s="99">
        <v>45842</v>
      </c>
      <c r="N52" s="9">
        <v>89</v>
      </c>
      <c r="O52" s="9">
        <f>IF(ISBLANK(Tabel1[[#This Row],[info sendt.]])," ",_xlfn.DAYS(Tabel1[[#This Row],[info sendt.]],Tabel1[[#This Row],[Fik den]]))</f>
        <v>66</v>
      </c>
      <c r="Q52" s="57">
        <f>14+37</f>
        <v>51</v>
      </c>
      <c r="S52" s="63"/>
      <c r="T52" s="63"/>
      <c r="V52" s="61"/>
    </row>
    <row r="53" spans="1:22">
      <c r="A53" s="86" t="s">
        <v>68</v>
      </c>
      <c r="B53" s="5" t="s">
        <v>69</v>
      </c>
      <c r="C53" s="6">
        <v>4</v>
      </c>
      <c r="D53" s="11">
        <v>7695</v>
      </c>
      <c r="E53" s="6">
        <v>1050</v>
      </c>
      <c r="F53" s="6">
        <v>8745</v>
      </c>
      <c r="G53" s="6">
        <v>115</v>
      </c>
      <c r="H53" s="5">
        <v>92340</v>
      </c>
      <c r="I53" s="7">
        <v>802.95652173913038</v>
      </c>
      <c r="J53" s="17">
        <v>45474</v>
      </c>
      <c r="K53" s="9"/>
      <c r="L53" s="99"/>
      <c r="M53" s="24"/>
      <c r="N53" s="9" t="str">
        <f>IF(ISBLANK(Tabel1[[#This Row],[Indflytning d.]])," ",_xlfn.DAYS(Tabel1[[#This Row],[Indflytning d.]],Tabel1[[#This Row],[Fik den]]))</f>
        <v xml:space="preserve"> </v>
      </c>
      <c r="O53" s="9" t="str">
        <f>IF(ISBLANK(Tabel1[[#This Row],[info sendt.]])," ",_xlfn.DAYS(Tabel1[[#This Row],[info sendt.]],Tabel1[[#This Row],[Fik den]]))</f>
        <v xml:space="preserve"> </v>
      </c>
      <c r="Q53" s="57">
        <f>51*14/10</f>
        <v>71.400000000000006</v>
      </c>
      <c r="V53" s="61"/>
    </row>
    <row r="54" spans="1:22">
      <c r="A54" s="90" t="s">
        <v>70</v>
      </c>
      <c r="B54" s="5" t="s">
        <v>69</v>
      </c>
      <c r="C54" s="6">
        <v>3</v>
      </c>
      <c r="D54" s="103">
        <v>6495</v>
      </c>
      <c r="E54" s="6">
        <v>700</v>
      </c>
      <c r="F54" s="6">
        <v>7195</v>
      </c>
      <c r="G54" s="6">
        <v>86</v>
      </c>
      <c r="H54" s="5">
        <v>77940</v>
      </c>
      <c r="I54" s="7">
        <v>906.27906976744191</v>
      </c>
      <c r="J54" s="17">
        <v>45882</v>
      </c>
      <c r="K54" s="9"/>
      <c r="L54" s="99"/>
      <c r="M54" s="31"/>
      <c r="N54" s="9" t="str">
        <f>IF(ISBLANK(Tabel1[[#This Row],[Indflytning d.]])," ",_xlfn.DAYS(Tabel1[[#This Row],[Indflytning d.]],Tabel1[[#This Row],[Fik den]]))</f>
        <v xml:space="preserve"> </v>
      </c>
      <c r="O54" s="9" t="str">
        <f>IF(ISBLANK(Tabel1[[#This Row],[info sendt.]])," ",_xlfn.DAYS(Tabel1[[#This Row],[info sendt.]],Tabel1[[#This Row],[Fik den]]))</f>
        <v xml:space="preserve"> </v>
      </c>
      <c r="V54" s="61"/>
    </row>
    <row r="55" spans="1:22">
      <c r="A55" t="s">
        <v>71</v>
      </c>
      <c r="B55" s="5" t="s">
        <v>69</v>
      </c>
      <c r="C55" s="6">
        <v>4</v>
      </c>
      <c r="D55">
        <v>7995</v>
      </c>
      <c r="E55" s="6">
        <v>900</v>
      </c>
      <c r="F55" s="6">
        <v>8895</v>
      </c>
      <c r="G55" s="6">
        <v>100</v>
      </c>
      <c r="H55" s="5">
        <v>95940</v>
      </c>
      <c r="I55" s="7">
        <v>959.4</v>
      </c>
      <c r="J55" s="17">
        <v>45882</v>
      </c>
      <c r="K55" s="9"/>
      <c r="L55" s="99"/>
      <c r="M55" s="31"/>
      <c r="N55" s="9" t="str">
        <f>IF(ISBLANK(Tabel1[[#This Row],[Indflytning d.]])," ",_xlfn.DAYS(Tabel1[[#This Row],[Indflytning d.]],Tabel1[[#This Row],[Fik den]]))</f>
        <v xml:space="preserve"> </v>
      </c>
      <c r="O55" s="9" t="str">
        <f>IF(ISBLANK(Tabel1[[#This Row],[info sendt.]])," ",_xlfn.DAYS(Tabel1[[#This Row],[info sendt.]],Tabel1[[#This Row],[Fik den]]))</f>
        <v xml:space="preserve"> </v>
      </c>
      <c r="V55" s="61"/>
    </row>
    <row r="56" spans="1:22">
      <c r="A56" t="s">
        <v>72</v>
      </c>
      <c r="B56" s="5" t="s">
        <v>69</v>
      </c>
      <c r="C56" s="6">
        <v>3</v>
      </c>
      <c r="D56">
        <v>6495</v>
      </c>
      <c r="E56" s="6">
        <v>800</v>
      </c>
      <c r="F56" s="6">
        <v>7295</v>
      </c>
      <c r="G56" s="6">
        <v>76</v>
      </c>
      <c r="H56" s="5">
        <v>77940</v>
      </c>
      <c r="I56" s="7">
        <v>1025.5263157894738</v>
      </c>
      <c r="J56" s="17">
        <v>45882</v>
      </c>
      <c r="K56" s="9"/>
      <c r="L56" s="99"/>
      <c r="M56" s="31"/>
      <c r="N56" s="9" t="str">
        <f>IF(ISBLANK(Tabel1[[#This Row],[Indflytning d.]])," ",_xlfn.DAYS(Tabel1[[#This Row],[Indflytning d.]],Tabel1[[#This Row],[Fik den]]))</f>
        <v xml:space="preserve"> </v>
      </c>
      <c r="O56" s="9" t="str">
        <f>IF(ISBLANK(Tabel1[[#This Row],[info sendt.]])," ",_xlfn.DAYS(Tabel1[[#This Row],[info sendt.]],Tabel1[[#This Row],[Fik den]]))</f>
        <v xml:space="preserve"> </v>
      </c>
    </row>
    <row r="57" spans="1:22">
      <c r="A57" s="10" t="s">
        <v>73</v>
      </c>
      <c r="B57" s="47" t="s">
        <v>69</v>
      </c>
      <c r="C57" s="6">
        <v>3</v>
      </c>
      <c r="D57" s="10">
        <v>6995</v>
      </c>
      <c r="E57" s="6">
        <v>750</v>
      </c>
      <c r="F57" s="6">
        <v>7745</v>
      </c>
      <c r="G57" s="6">
        <v>77</v>
      </c>
      <c r="H57" s="5">
        <v>83940</v>
      </c>
      <c r="I57" s="7">
        <v>1090.1298701298701</v>
      </c>
      <c r="J57" s="17">
        <v>45776</v>
      </c>
      <c r="K57" s="22"/>
      <c r="L57" s="99"/>
      <c r="M57" s="15"/>
      <c r="N57" s="53" t="str">
        <f>IF(ISBLANK(Tabel1[[#This Row],[Indflytning d.]])," ",_xlfn.DAYS(Tabel1[[#This Row],[Indflytning d.]],Tabel1[[#This Row],[Fik den]]))</f>
        <v xml:space="preserve"> </v>
      </c>
      <c r="O57" s="9" t="str">
        <f>IF(ISBLANK(Tabel1[[#This Row],[info sendt.]])," ",_xlfn.DAYS(Tabel1[[#This Row],[info sendt.]],Tabel1[[#This Row],[Fik den]]))</f>
        <v xml:space="preserve"> </v>
      </c>
      <c r="V57" s="61"/>
    </row>
    <row r="58" spans="1:22">
      <c r="A58" s="98" t="s">
        <v>74</v>
      </c>
      <c r="B58" s="5" t="s">
        <v>69</v>
      </c>
      <c r="C58" s="6">
        <v>3</v>
      </c>
      <c r="D58">
        <v>6995</v>
      </c>
      <c r="E58" s="6">
        <v>750</v>
      </c>
      <c r="F58" s="6">
        <v>7745</v>
      </c>
      <c r="G58" s="6">
        <v>90</v>
      </c>
      <c r="H58" s="5">
        <v>83940</v>
      </c>
      <c r="I58" s="7">
        <v>932.66666666666663</v>
      </c>
      <c r="J58" s="17">
        <v>45776</v>
      </c>
      <c r="K58" s="9"/>
      <c r="L58" s="99"/>
      <c r="M58" s="25"/>
      <c r="N58" s="9" t="str">
        <f>IF(ISBLANK(Tabel1[[#This Row],[Indflytning d.]])," ",_xlfn.DAYS(Tabel1[[#This Row],[Indflytning d.]],Tabel1[[#This Row],[Fik den]]))</f>
        <v xml:space="preserve"> </v>
      </c>
      <c r="O58" s="9" t="str">
        <f>IF(ISBLANK(Tabel1[[#This Row],[info sendt.]])," ",_xlfn.DAYS(Tabel1[[#This Row],[info sendt.]],Tabel1[[#This Row],[Fik den]]))</f>
        <v xml:space="preserve"> </v>
      </c>
    </row>
    <row r="59" spans="1:22">
      <c r="A59" s="34" t="s">
        <v>75</v>
      </c>
      <c r="B59" s="5" t="s">
        <v>69</v>
      </c>
      <c r="C59" s="6">
        <v>3</v>
      </c>
      <c r="D59" s="10">
        <v>7895</v>
      </c>
      <c r="E59" s="6">
        <v>900</v>
      </c>
      <c r="F59" s="6">
        <v>8795</v>
      </c>
      <c r="G59" s="6">
        <v>95</v>
      </c>
      <c r="H59" s="5">
        <v>94740</v>
      </c>
      <c r="I59" s="7">
        <v>997.26315789473688</v>
      </c>
      <c r="J59" s="17">
        <v>45474</v>
      </c>
      <c r="K59" s="9"/>
      <c r="L59" s="99"/>
      <c r="M59" s="31"/>
      <c r="N59" s="9" t="str">
        <f>IF(ISBLANK(Tabel1[[#This Row],[Indflytning d.]])," ",_xlfn.DAYS(Tabel1[[#This Row],[Indflytning d.]],Tabel1[[#This Row],[Fik den]]))</f>
        <v xml:space="preserve"> </v>
      </c>
      <c r="O59" s="9" t="str">
        <f>IF(ISBLANK(Tabel1[[#This Row],[info sendt.]])," ",_xlfn.DAYS(Tabel1[[#This Row],[info sendt.]],Tabel1[[#This Row],[Fik den]]))</f>
        <v xml:space="preserve"> </v>
      </c>
      <c r="V59" s="61"/>
    </row>
    <row r="60" spans="1:22">
      <c r="A60" s="34" t="s">
        <v>76</v>
      </c>
      <c r="B60" s="5" t="s">
        <v>69</v>
      </c>
      <c r="C60" s="6">
        <v>3</v>
      </c>
      <c r="D60" s="10">
        <v>8145</v>
      </c>
      <c r="E60" s="6">
        <v>700</v>
      </c>
      <c r="F60" s="6">
        <v>8845</v>
      </c>
      <c r="G60" s="6">
        <v>95</v>
      </c>
      <c r="H60" s="5">
        <v>97740</v>
      </c>
      <c r="I60" s="7">
        <v>1028.8421052631579</v>
      </c>
      <c r="J60" s="17">
        <v>45474</v>
      </c>
      <c r="K60" s="22"/>
      <c r="L60" s="99"/>
      <c r="M60" s="25"/>
      <c r="N60" s="9" t="str">
        <f>IF(ISBLANK(Tabel1[[#This Row],[Indflytning d.]])," ",_xlfn.DAYS(Tabel1[[#This Row],[Indflytning d.]],Tabel1[[#This Row],[Fik den]]))</f>
        <v xml:space="preserve"> </v>
      </c>
      <c r="O60" s="9" t="str">
        <f>IF(ISBLANK(Tabel1[[#This Row],[info sendt.]])," ",_xlfn.DAYS(Tabel1[[#This Row],[info sendt.]],Tabel1[[#This Row],[Fik den]]))</f>
        <v xml:space="preserve"> </v>
      </c>
    </row>
    <row r="61" spans="1:22">
      <c r="A61" s="10" t="s">
        <v>77</v>
      </c>
      <c r="B61" s="5" t="s">
        <v>69</v>
      </c>
      <c r="C61" s="6">
        <v>2</v>
      </c>
      <c r="D61" s="10">
        <v>6575</v>
      </c>
      <c r="E61" s="6">
        <v>1200</v>
      </c>
      <c r="F61" s="6">
        <v>7775</v>
      </c>
      <c r="G61" s="6">
        <v>71</v>
      </c>
      <c r="H61" s="5">
        <v>78900</v>
      </c>
      <c r="I61" s="7">
        <v>1111.2676056338028</v>
      </c>
      <c r="J61" s="51">
        <v>45796</v>
      </c>
      <c r="K61" s="20"/>
      <c r="L61" s="102"/>
      <c r="M61" s="35"/>
      <c r="N61" s="53" t="str">
        <f>IF(ISBLANK(Tabel1[[#This Row],[Indflytning d.]])," ",_xlfn.DAYS(Tabel1[[#This Row],[Indflytning d.]],Tabel1[[#This Row],[Fik den]]))</f>
        <v xml:space="preserve"> </v>
      </c>
      <c r="O61" s="9" t="str">
        <f>IF(ISBLANK(Tabel1[[#This Row],[info sendt.]])," ",_xlfn.DAYS(Tabel1[[#This Row],[info sendt.]],Tabel1[[#This Row],[Fik den]]))</f>
        <v xml:space="preserve"> </v>
      </c>
      <c r="V61" s="61"/>
    </row>
    <row r="62" spans="1:22">
      <c r="A62" t="s">
        <v>78</v>
      </c>
      <c r="B62" s="5" t="s">
        <v>69</v>
      </c>
      <c r="C62" s="6">
        <v>3</v>
      </c>
      <c r="D62">
        <v>7795</v>
      </c>
      <c r="E62" s="6">
        <v>700</v>
      </c>
      <c r="F62" s="6">
        <v>8495</v>
      </c>
      <c r="G62" s="6">
        <v>98</v>
      </c>
      <c r="H62" s="5">
        <v>93540</v>
      </c>
      <c r="I62" s="7">
        <v>954.48979591836735</v>
      </c>
      <c r="J62" s="17">
        <v>45882</v>
      </c>
      <c r="K62" s="9"/>
      <c r="L62" s="99"/>
      <c r="M62" s="31"/>
      <c r="N62" s="9" t="str">
        <f>IF(ISBLANK(Tabel1[[#This Row],[Indflytning d.]])," ",_xlfn.DAYS(Tabel1[[#This Row],[Indflytning d.]],Tabel1[[#This Row],[Fik den]]))</f>
        <v xml:space="preserve"> </v>
      </c>
      <c r="O62" s="9" t="str">
        <f>IF(ISBLANK(Tabel1[[#This Row],[info sendt.]])," ",_xlfn.DAYS(Tabel1[[#This Row],[info sendt.]],Tabel1[[#This Row],[Fik den]]))</f>
        <v xml:space="preserve"> </v>
      </c>
      <c r="V62" s="61"/>
    </row>
    <row r="63" spans="1:22">
      <c r="A63" s="34" t="s">
        <v>79</v>
      </c>
      <c r="B63" s="5" t="s">
        <v>69</v>
      </c>
      <c r="C63" s="6">
        <v>3</v>
      </c>
      <c r="D63" s="10">
        <v>8995</v>
      </c>
      <c r="E63" s="6">
        <v>1250</v>
      </c>
      <c r="F63" s="6">
        <v>10245</v>
      </c>
      <c r="G63" s="6">
        <v>100</v>
      </c>
      <c r="H63" s="5">
        <v>107940</v>
      </c>
      <c r="I63" s="7">
        <v>1079.4000000000001</v>
      </c>
      <c r="J63" s="17">
        <v>45474</v>
      </c>
      <c r="K63" s="9"/>
      <c r="L63" s="99"/>
      <c r="M63" s="31"/>
      <c r="N63" s="9" t="str">
        <f>IF(ISBLANK(Tabel1[[#This Row],[Indflytning d.]])," ",_xlfn.DAYS(Tabel1[[#This Row],[Indflytning d.]],Tabel1[[#This Row],[Fik den]]))</f>
        <v xml:space="preserve"> </v>
      </c>
      <c r="O63" s="9" t="str">
        <f>IF(ISBLANK(Tabel1[[#This Row],[info sendt.]])," ",_xlfn.DAYS(Tabel1[[#This Row],[info sendt.]],Tabel1[[#This Row],[Fik den]]))</f>
        <v xml:space="preserve"> </v>
      </c>
    </row>
    <row r="64" spans="1:22">
      <c r="A64" s="85" t="s">
        <v>80</v>
      </c>
      <c r="B64" s="5" t="s">
        <v>69</v>
      </c>
      <c r="C64" s="6">
        <v>3</v>
      </c>
      <c r="D64">
        <v>7495</v>
      </c>
      <c r="E64" s="6">
        <v>800</v>
      </c>
      <c r="F64" s="6">
        <v>8295</v>
      </c>
      <c r="G64" s="6">
        <v>97</v>
      </c>
      <c r="H64" s="5">
        <v>89940</v>
      </c>
      <c r="I64" s="7">
        <v>927.21649484536078</v>
      </c>
      <c r="J64" s="17">
        <v>45842</v>
      </c>
      <c r="K64" s="9"/>
      <c r="L64" s="99"/>
      <c r="M64" s="25"/>
      <c r="N64" s="9" t="str">
        <f>IF(ISBLANK(Tabel1[[#This Row],[Indflytning d.]])," ",_xlfn.DAYS(Tabel1[[#This Row],[Indflytning d.]],Tabel1[[#This Row],[Fik den]]))</f>
        <v xml:space="preserve"> </v>
      </c>
      <c r="O64" s="9" t="str">
        <f>IF(ISBLANK(Tabel1[[#This Row],[info sendt.]])," ",_xlfn.DAYS(Tabel1[[#This Row],[info sendt.]],Tabel1[[#This Row],[Fik den]]))</f>
        <v xml:space="preserve"> </v>
      </c>
      <c r="V64" s="61"/>
    </row>
    <row r="65" spans="1:22">
      <c r="A65" s="36" t="s">
        <v>81</v>
      </c>
      <c r="B65" s="5" t="s">
        <v>69</v>
      </c>
      <c r="C65" s="6">
        <v>2</v>
      </c>
      <c r="D65" s="10">
        <v>5995</v>
      </c>
      <c r="E65" s="6">
        <v>1100</v>
      </c>
      <c r="F65" s="6">
        <v>7095</v>
      </c>
      <c r="G65" s="6">
        <v>73</v>
      </c>
      <c r="H65" s="5">
        <v>71940</v>
      </c>
      <c r="I65" s="7">
        <v>985.47945205479448</v>
      </c>
      <c r="J65" s="51">
        <v>45796</v>
      </c>
      <c r="K65" s="20"/>
      <c r="L65" s="102"/>
      <c r="M65" s="35"/>
      <c r="N65" s="53" t="str">
        <f>IF(ISBLANK(Tabel1[[#This Row],[Indflytning d.]])," ",_xlfn.DAYS(Tabel1[[#This Row],[Indflytning d.]],Tabel1[[#This Row],[Fik den]]))</f>
        <v xml:space="preserve"> </v>
      </c>
      <c r="O65" s="9" t="str">
        <f>IF(ISBLANK(Tabel1[[#This Row],[info sendt.]])," ",_xlfn.DAYS(Tabel1[[#This Row],[info sendt.]],Tabel1[[#This Row],[Fik den]]))</f>
        <v xml:space="preserve"> </v>
      </c>
      <c r="V65" s="61"/>
    </row>
    <row r="66" spans="1:22">
      <c r="A66" s="86" t="s">
        <v>82</v>
      </c>
      <c r="B66" s="5" t="s">
        <v>69</v>
      </c>
      <c r="C66" s="6">
        <v>2</v>
      </c>
      <c r="D66">
        <v>6995</v>
      </c>
      <c r="E66" s="6">
        <v>800</v>
      </c>
      <c r="F66" s="6">
        <v>7795</v>
      </c>
      <c r="G66" s="6">
        <v>94</v>
      </c>
      <c r="H66" s="5">
        <v>83940</v>
      </c>
      <c r="I66" s="7">
        <v>892.97872340425533</v>
      </c>
      <c r="J66" s="17">
        <v>45659</v>
      </c>
      <c r="K66" s="9"/>
      <c r="L66" s="99"/>
      <c r="M66" s="31"/>
      <c r="N66" s="9" t="str">
        <f>IF(ISBLANK(Tabel1[[#This Row],[Indflytning d.]])," ",_xlfn.DAYS(Tabel1[[#This Row],[Indflytning d.]],Tabel1[[#This Row],[Fik den]]))</f>
        <v xml:space="preserve"> </v>
      </c>
      <c r="O66" s="9" t="str">
        <f>IF(ISBLANK(Tabel1[[#This Row],[info sendt.]])," ",_xlfn.DAYS(Tabel1[[#This Row],[info sendt.]],Tabel1[[#This Row],[Fik den]]))</f>
        <v xml:space="preserve"> </v>
      </c>
      <c r="V66" s="61"/>
    </row>
    <row r="67" spans="1:22">
      <c r="A67" s="88" t="s">
        <v>83</v>
      </c>
      <c r="B67" s="5" t="s">
        <v>69</v>
      </c>
      <c r="C67" s="6">
        <v>2</v>
      </c>
      <c r="D67" s="11">
        <v>6995</v>
      </c>
      <c r="E67" s="6">
        <v>1050</v>
      </c>
      <c r="F67" s="6">
        <v>8045</v>
      </c>
      <c r="G67" s="6">
        <v>94</v>
      </c>
      <c r="H67" s="5">
        <v>83940</v>
      </c>
      <c r="I67" s="7">
        <v>892.97872340425533</v>
      </c>
      <c r="J67" s="17">
        <v>45703</v>
      </c>
      <c r="K67" s="9"/>
      <c r="L67" s="100"/>
      <c r="M67" s="32"/>
      <c r="N67" s="9" t="str">
        <f>IF(ISBLANK(Tabel1[[#This Row],[Indflytning d.]])," ",_xlfn.DAYS(Tabel1[[#This Row],[Indflytning d.]],Tabel1[[#This Row],[Fik den]]))</f>
        <v xml:space="preserve"> </v>
      </c>
      <c r="O67" s="9" t="str">
        <f>IF(ISBLANK(Tabel1[[#This Row],[info sendt.]])," ",_xlfn.DAYS(Tabel1[[#This Row],[info sendt.]],Tabel1[[#This Row],[Fik den]]))</f>
        <v xml:space="preserve"> </v>
      </c>
      <c r="S67" s="61"/>
      <c r="V67" s="61"/>
    </row>
    <row r="68" spans="1:22">
      <c r="A68" s="86" t="s">
        <v>84</v>
      </c>
      <c r="B68" s="5" t="s">
        <v>69</v>
      </c>
      <c r="C68" s="6">
        <v>3</v>
      </c>
      <c r="D68" s="10">
        <v>8295</v>
      </c>
      <c r="E68" s="6">
        <v>800</v>
      </c>
      <c r="F68" s="6">
        <v>9095</v>
      </c>
      <c r="G68" s="6">
        <v>100</v>
      </c>
      <c r="H68" s="5">
        <v>99540</v>
      </c>
      <c r="I68" s="7">
        <v>995.4</v>
      </c>
      <c r="J68" s="17">
        <v>45474</v>
      </c>
      <c r="K68" s="22"/>
      <c r="L68" s="99"/>
      <c r="M68" s="31"/>
      <c r="N68" s="9" t="str">
        <f>IF(ISBLANK(Tabel1[[#This Row],[Indflytning d.]])," ",_xlfn.DAYS(Tabel1[[#This Row],[Indflytning d.]],Tabel1[[#This Row],[Fik den]]))</f>
        <v xml:space="preserve"> </v>
      </c>
      <c r="O68" s="9" t="str">
        <f>IF(ISBLANK(Tabel1[[#This Row],[info sendt.]])," ",_xlfn.DAYS(Tabel1[[#This Row],[info sendt.]],Tabel1[[#This Row],[Fik den]]))</f>
        <v xml:space="preserve"> </v>
      </c>
      <c r="V68" s="62"/>
    </row>
    <row r="69" spans="1:22">
      <c r="A69" s="33" t="s">
        <v>58</v>
      </c>
      <c r="B69" s="5" t="s">
        <v>69</v>
      </c>
      <c r="C69" s="6">
        <v>2</v>
      </c>
      <c r="D69" s="11">
        <v>4995</v>
      </c>
      <c r="E69" s="6">
        <v>500</v>
      </c>
      <c r="F69" s="6">
        <v>5495</v>
      </c>
      <c r="G69" s="6">
        <v>73</v>
      </c>
      <c r="H69" s="5">
        <v>59940</v>
      </c>
      <c r="I69" s="7">
        <v>821.09589041095887</v>
      </c>
      <c r="J69" s="17"/>
      <c r="K69" s="42"/>
      <c r="L69" s="55"/>
      <c r="M69" s="38"/>
      <c r="N69" s="9" t="str">
        <f>IF(ISBLANK(Tabel1[[#This Row],[Indflytning d.]])," ",_xlfn.DAYS(Tabel1[[#This Row],[Indflytning d.]],Tabel1[[#This Row],[Fik den]]))</f>
        <v xml:space="preserve"> </v>
      </c>
      <c r="O69" s="9" t="str">
        <f>IF(ISBLANK(Tabel1[[#This Row],[info sendt.]])," ",_xlfn.DAYS(Tabel1[[#This Row],[info sendt.]],Tabel1[[#This Row],[Fik den]]))</f>
        <v xml:space="preserve"> </v>
      </c>
      <c r="V69" s="61"/>
    </row>
    <row r="71" spans="1:22">
      <c r="D71" s="82"/>
      <c r="N71">
        <f>AVERAGE(N37:N49)</f>
        <v>197.07692307692307</v>
      </c>
    </row>
    <row r="72" spans="1:22">
      <c r="D72" s="82"/>
    </row>
    <row r="73" spans="1:22">
      <c r="N73" t="s">
        <v>85</v>
      </c>
      <c r="P73"/>
    </row>
    <row r="74" spans="1:22">
      <c r="M74" s="80" t="s">
        <v>86</v>
      </c>
      <c r="N74">
        <f>AVERAGE(N21:N68)</f>
        <v>134.1875</v>
      </c>
      <c r="P74"/>
    </row>
    <row r="75" spans="1:22">
      <c r="D75" t="s">
        <v>87</v>
      </c>
      <c r="E75" s="82">
        <f>(SUM(D21:D33)+SUM(D35:D41)+D45+D46+D49+D50+D52+D54+D55+D57+D59+D61+D62+D65+D66+D67+D68)*12</f>
        <v>2869560</v>
      </c>
      <c r="F75" s="83">
        <f>E75/(E75+E76)</f>
        <v>0.72536172536172538</v>
      </c>
      <c r="M75" s="80" t="s">
        <v>88</v>
      </c>
      <c r="N75">
        <f>AVERAGE(O2,O3,O4,O21:O68)</f>
        <v>91.428571428571431</v>
      </c>
    </row>
    <row r="76" spans="1:22">
      <c r="D76" t="s">
        <v>89</v>
      </c>
      <c r="E76" s="82">
        <v>1086480</v>
      </c>
      <c r="F76" s="83">
        <f>E76/(E75+E76)</f>
        <v>0.27463827463827462</v>
      </c>
    </row>
    <row r="77" spans="1:22">
      <c r="E77" s="82">
        <f>E75+E76</f>
        <v>3956040</v>
      </c>
      <c r="M77" t="s">
        <v>90</v>
      </c>
      <c r="N77">
        <v>51</v>
      </c>
      <c r="O77" t="s">
        <v>91</v>
      </c>
    </row>
    <row r="78" spans="1:22">
      <c r="M78" t="s">
        <v>92</v>
      </c>
      <c r="N78">
        <v>16</v>
      </c>
      <c r="O78" t="s">
        <v>93</v>
      </c>
      <c r="P78" s="57" t="s">
        <v>94</v>
      </c>
    </row>
    <row r="79" spans="1:22">
      <c r="D79" t="s">
        <v>87</v>
      </c>
      <c r="E79">
        <v>35</v>
      </c>
      <c r="F79" s="81">
        <f>E79/(E79+E80)</f>
        <v>0.72916666666666663</v>
      </c>
    </row>
    <row r="80" spans="1:22">
      <c r="D80" t="s">
        <v>89</v>
      </c>
      <c r="E80">
        <v>13</v>
      </c>
      <c r="F80" s="81">
        <f>E80/(E80+E79)</f>
        <v>0.27083333333333331</v>
      </c>
    </row>
    <row r="81" spans="4:6">
      <c r="D81" t="s">
        <v>95</v>
      </c>
      <c r="E81">
        <v>3</v>
      </c>
    </row>
    <row r="87" spans="4:6">
      <c r="D87" t="s">
        <v>90</v>
      </c>
      <c r="E87">
        <v>48</v>
      </c>
      <c r="F87">
        <f>E87/(E87+E88+E89)</f>
        <v>0.70588235294117652</v>
      </c>
    </row>
    <row r="88" spans="4:6">
      <c r="D88" t="s">
        <v>92</v>
      </c>
      <c r="E88">
        <v>17</v>
      </c>
      <c r="F88">
        <f>E88/(E88+E87+E89)</f>
        <v>0.25</v>
      </c>
    </row>
    <row r="89" spans="4:6">
      <c r="D89" t="s">
        <v>96</v>
      </c>
      <c r="E89">
        <v>3</v>
      </c>
      <c r="F89">
        <f>E89/(E89+E88+E87)</f>
        <v>4.4117647058823532E-2</v>
      </c>
    </row>
  </sheetData>
  <conditionalFormatting sqref="A1">
    <cfRule type="duplicateValues" dxfId="45" priority="98"/>
  </conditionalFormatting>
  <conditionalFormatting sqref="A1:A1048576">
    <cfRule type="duplicateValues" dxfId="44" priority="12"/>
  </conditionalFormatting>
  <conditionalFormatting sqref="A2:A69">
    <cfRule type="duplicateValues" dxfId="43" priority="496"/>
  </conditionalFormatting>
  <conditionalFormatting sqref="A23:A50 A69">
    <cfRule type="duplicateValues" dxfId="42" priority="121"/>
  </conditionalFormatting>
  <conditionalFormatting sqref="A23:A50">
    <cfRule type="duplicateValues" dxfId="41" priority="464"/>
  </conditionalFormatting>
  <conditionalFormatting sqref="A23:A69">
    <cfRule type="duplicateValues" dxfId="40" priority="466"/>
  </conditionalFormatting>
  <conditionalFormatting sqref="A44">
    <cfRule type="duplicateValues" dxfId="39" priority="10"/>
    <cfRule type="duplicateValues" dxfId="38" priority="11"/>
  </conditionalFormatting>
  <conditionalFormatting sqref="A69">
    <cfRule type="duplicateValues" dxfId="37" priority="9"/>
  </conditionalFormatting>
  <conditionalFormatting sqref="B1:B50">
    <cfRule type="containsText" dxfId="36" priority="56" operator="containsText" text="Tomgang">
      <formula>NOT(ISERROR(SEARCH("Tomgang",B1)))</formula>
    </cfRule>
    <cfRule type="containsText" dxfId="35" priority="55" operator="containsText" text="Reserveret">
      <formula>NOT(ISERROR(SEARCH("Reserveret",B1)))</formula>
    </cfRule>
    <cfRule type="containsText" dxfId="34" priority="57" operator="containsText" text="Udlejet">
      <formula>NOT(ISERROR(SEARCH("Udlejet",B1)))</formula>
    </cfRule>
    <cfRule type="containsText" dxfId="33" priority="59" operator="containsText" text="Opsagt">
      <formula>NOT(ISERROR(SEARCH("Opsagt",B1)))</formula>
    </cfRule>
  </conditionalFormatting>
  <conditionalFormatting sqref="B2:B69">
    <cfRule type="cellIs" dxfId="32" priority="33" operator="equal">
      <formula>"under udvikling"</formula>
    </cfRule>
  </conditionalFormatting>
  <conditionalFormatting sqref="B23:B50">
    <cfRule type="containsText" dxfId="31" priority="32" operator="containsText" text="retur">
      <formula>NOT(ISERROR(SEARCH("retur",B23)))</formula>
    </cfRule>
    <cfRule type="containsText" dxfId="30" priority="31" operator="containsText" text="Tomgang">
      <formula>NOT(ISERROR(SEARCH("Tomgang",B23)))</formula>
    </cfRule>
    <cfRule type="containsText" dxfId="29" priority="30" operator="containsText" text="Reserveret">
      <formula>NOT(ISERROR(SEARCH("Reserveret",B23)))</formula>
    </cfRule>
    <cfRule type="containsText" dxfId="28" priority="21" operator="containsText" text="Udlejet">
      <formula>NOT(ISERROR(SEARCH("Udlejet",B23)))</formula>
    </cfRule>
  </conditionalFormatting>
  <conditionalFormatting sqref="B51:B68">
    <cfRule type="containsText" dxfId="27" priority="15" operator="containsText" text="Opsagt">
      <formula>NOT(ISERROR(SEARCH("Opsagt",B51)))</formula>
    </cfRule>
    <cfRule type="containsText" dxfId="26" priority="16" operator="containsText" text="Reserveret">
      <formula>NOT(ISERROR(SEARCH("Reserveret",B51)))</formula>
    </cfRule>
    <cfRule type="containsText" dxfId="25" priority="17" operator="containsText" text="Tomgang">
      <formula>NOT(ISERROR(SEARCH("Tomgang",B51)))</formula>
    </cfRule>
    <cfRule type="containsText" dxfId="24" priority="18" operator="containsText" text="Udlejet">
      <formula>NOT(ISERROR(SEARCH("Udlejet",B51)))</formula>
    </cfRule>
    <cfRule type="containsText" dxfId="23" priority="14" operator="containsText" text="Under Udvikling">
      <formula>NOT(ISERROR(SEARCH("Under Udvikling",B51)))</formula>
    </cfRule>
  </conditionalFormatting>
  <conditionalFormatting sqref="B69">
    <cfRule type="containsText" dxfId="22" priority="3" operator="containsText" text="Tomgang">
      <formula>NOT(ISERROR(SEARCH("Tomgang",B69)))</formula>
    </cfRule>
    <cfRule type="containsText" dxfId="21" priority="2" operator="containsText" text="Reserveret">
      <formula>NOT(ISERROR(SEARCH("Reserveret",B69)))</formula>
    </cfRule>
    <cfRule type="containsText" dxfId="20" priority="8" operator="containsText" text="Opsagt">
      <formula>NOT(ISERROR(SEARCH("Opsagt",B69)))</formula>
    </cfRule>
    <cfRule type="containsText" dxfId="19" priority="7" operator="containsText" text="Udlejet">
      <formula>NOT(ISERROR(SEARCH("Udlejet",B69)))</formula>
    </cfRule>
    <cfRule type="containsText" dxfId="18" priority="6" operator="containsText" text="Tomgang">
      <formula>NOT(ISERROR(SEARCH("Tomgang",B69)))</formula>
    </cfRule>
    <cfRule type="containsText" dxfId="17" priority="5" operator="containsText" text="Reserveret">
      <formula>NOT(ISERROR(SEARCH("Reserveret",B69)))</formula>
    </cfRule>
    <cfRule type="containsText" dxfId="16" priority="4" operator="containsText" text="retur">
      <formula>NOT(ISERROR(SEARCH("retur",B69)))</formula>
    </cfRule>
    <cfRule type="containsText" dxfId="15" priority="1" operator="containsText" text="Udlejet">
      <formula>NOT(ISERROR(SEARCH("Udlejet",B69)))</formula>
    </cfRule>
  </conditionalFormatting>
  <conditionalFormatting sqref="E51:E68">
    <cfRule type="colorScale" priority="352">
      <colorScale>
        <cfvo type="min"/>
        <cfvo type="max"/>
        <color rgb="FFFCFCFF"/>
        <color rgb="FF63BE7B"/>
      </colorScale>
    </cfRule>
  </conditionalFormatting>
  <conditionalFormatting sqref="N1:O69">
    <cfRule type="cellIs" dxfId="14" priority="41" operator="lessThanOrEqual">
      <formula>98</formula>
    </cfRule>
  </conditionalFormatting>
  <pageMargins left="0.7" right="0.7" top="0.75" bottom="0.75" header="0.3" footer="0.3"/>
  <pageSetup paperSize="8" scale="73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DEE053D2386554E885687B19D5EEE2B" ma:contentTypeVersion="15" ma:contentTypeDescription="Opret et nyt dokument." ma:contentTypeScope="" ma:versionID="86f56927863577354fc20050ce932a30">
  <xsd:schema xmlns:xsd="http://www.w3.org/2001/XMLSchema" xmlns:xs="http://www.w3.org/2001/XMLSchema" xmlns:p="http://schemas.microsoft.com/office/2006/metadata/properties" xmlns:ns2="344c969b-fec5-4f86-a31e-e8aa3bb9eaf2" xmlns:ns3="182401d0-d317-4ff4-aee8-d8be7947042b" targetNamespace="http://schemas.microsoft.com/office/2006/metadata/properties" ma:root="true" ma:fieldsID="4c5ac03944cd214650bcf9341fea27f7" ns2:_="" ns3:_="">
    <xsd:import namespace="344c969b-fec5-4f86-a31e-e8aa3bb9eaf2"/>
    <xsd:import namespace="182401d0-d317-4ff4-aee8-d8be79470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c969b-fec5-4f86-a31e-e8aa3bb9e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af588f4a-193e-45a8-99d8-6aeb73f51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401d0-d317-4ff4-aee8-d8be794704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106ceb-97ad-4666-9415-65210d99d45e}" ma:internalName="TaxCatchAll" ma:showField="CatchAllData" ma:web="182401d0-d317-4ff4-aee8-d8be79470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c969b-fec5-4f86-a31e-e8aa3bb9eaf2">
      <Terms xmlns="http://schemas.microsoft.com/office/infopath/2007/PartnerControls"/>
    </lcf76f155ced4ddcb4097134ff3c332f>
    <TaxCatchAll xmlns="182401d0-d317-4ff4-aee8-d8be794704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1E6195-C1F3-4E2E-AFBC-44FC31CB3002}"/>
</file>

<file path=customXml/itemProps2.xml><?xml version="1.0" encoding="utf-8"?>
<ds:datastoreItem xmlns:ds="http://schemas.openxmlformats.org/officeDocument/2006/customXml" ds:itemID="{D2A680A2-A7CE-40D6-BD24-FD9849F707EE}"/>
</file>

<file path=customXml/itemProps3.xml><?xml version="1.0" encoding="utf-8"?>
<ds:datastoreItem xmlns:ds="http://schemas.openxmlformats.org/officeDocument/2006/customXml" ds:itemID="{D7622D3B-4CD5-4B25-B23A-5B6C6F383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Troelsen</dc:creator>
  <cp:keywords/>
  <dc:description/>
  <cp:lastModifiedBy/>
  <cp:revision/>
  <dcterms:created xsi:type="dcterms:W3CDTF">2015-06-05T18:19:34Z</dcterms:created>
  <dcterms:modified xsi:type="dcterms:W3CDTF">2025-10-09T19:13:21Z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0x0101006DEE053D2386554E885687B19D5EEE2B</vt:lpwstr>
  </property>
  <property fmtid="{D5CDD505-2E9C-101B-9397-08002B2CF9AE}" pid="3" name="MediaServiceImageTags">
    <vt:lpwstr/>
  </property>
</Properties>
</file>